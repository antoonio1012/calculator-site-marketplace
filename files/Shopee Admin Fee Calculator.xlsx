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nduan Cara Pakai" sheetId="1" r:id="rId5"/>
    <sheet state="visible" name="Biaya Administrasi" sheetId="2" r:id="rId6"/>
    <sheet state="visible" name="Biaya Gratis Ongkir Xtra" sheetId="3" r:id="rId7"/>
    <sheet state="visible" name="Kalkulator Biaya Layanan (Baca " sheetId="4" r:id="rId8"/>
    <sheet state="visible" name="Dashboard Harga" sheetId="5" r:id="rId9"/>
  </sheets>
  <definedNames/>
  <calcPr/>
</workbook>
</file>

<file path=xl/sharedStrings.xml><?xml version="1.0" encoding="utf-8"?>
<sst xmlns="http://schemas.openxmlformats.org/spreadsheetml/2006/main" count="1023" uniqueCount="652">
  <si>
    <t>Saran/ Kendala: WA Admin (085156685865)</t>
  </si>
  <si>
    <t>CARA PAKAI - WAJIB BACA</t>
  </si>
  <si>
    <t>Step 1</t>
  </si>
  <si>
    <t>1. Klik File -&gt; Make a Copy</t>
  </si>
  <si>
    <t>1. Klik Titik Tiga -&gt; Share &amp; Export -&gt; Make a Copy</t>
  </si>
  <si>
    <t>2. Buka File yang baru di copy</t>
  </si>
  <si>
    <t>Desktop</t>
  </si>
  <si>
    <t>Kalau Di HP</t>
  </si>
  <si>
    <t>Step 2</t>
  </si>
  <si>
    <r>
      <rPr>
        <rFont val="Arial"/>
        <color theme="1"/>
        <sz val="12.0"/>
      </rPr>
      <t xml:space="preserve">Terdapat 4 halaman di dalam file google sheet ini, tapi yang akan sering dipakai adalah </t>
    </r>
    <r>
      <rPr>
        <rFont val="Arial"/>
        <b/>
        <color theme="1"/>
        <sz val="12.0"/>
      </rPr>
      <t>Kalkulator Biaya Layanan</t>
    </r>
  </si>
  <si>
    <t>Di Tabel Pertama, fokus di kolom berwarna hijau:</t>
  </si>
  <si>
    <t>1. Harga Produk (WAJIB)</t>
  </si>
  <si>
    <t>2-4. Kalau kamu membuat diskon penjual/ voucher, boleh diisi (opsional)</t>
  </si>
  <si>
    <t>*diskon penjual dll. perlu dikurangi sebelum biaya admin dihitung, karena nanti hasilnya akan berbeda</t>
  </si>
  <si>
    <t>Di Tabel Kedua, fokus di kolom berwarna hijau:</t>
  </si>
  <si>
    <r>
      <rPr>
        <rFont val="Nunito"/>
        <color theme="1"/>
      </rPr>
      <t>1.</t>
    </r>
    <r>
      <rPr>
        <rFont val="Nunito"/>
        <b/>
        <color theme="1"/>
      </rPr>
      <t xml:space="preserve">Gratis Ongkir Xtra                                                      </t>
    </r>
    <r>
      <rPr>
        <rFont val="Nunito"/>
        <color theme="1"/>
      </rPr>
      <t>: klik dua kali di pilihan, kemudian ketik kategori kamu, kalau di HP pilih logo keyboard (lihat foto)</t>
    </r>
  </si>
  <si>
    <r>
      <rPr>
        <rFont val="Nunito"/>
        <color theme="1"/>
      </rPr>
      <t xml:space="preserve">2. </t>
    </r>
    <r>
      <rPr>
        <rFont val="Nunito"/>
        <b/>
        <color theme="1"/>
      </rPr>
      <t xml:space="preserve">Promo Xtra.                                                                </t>
    </r>
    <r>
      <rPr>
        <rFont val="Nunito"/>
        <color theme="1"/>
      </rPr>
      <t>: klik dua kali di pilihan, kemudian pilih ikut/ tidak ikut)</t>
    </r>
  </si>
  <si>
    <r>
      <rPr>
        <rFont val="Nunito"/>
        <color theme="1"/>
      </rPr>
      <t xml:space="preserve">3. </t>
    </r>
    <r>
      <rPr>
        <rFont val="Nunito"/>
        <b/>
        <color theme="1"/>
      </rPr>
      <t>Biaya Administrasi &amp; Biaya Layanan per Kategori</t>
    </r>
    <r>
      <rPr>
        <rFont val="Nunito"/>
        <color theme="1"/>
      </rPr>
      <t>: klik dua kali di pilihan, kemudian ketik kategori kamu, kalau di HP pilih logo keyboard (lihat foto)</t>
    </r>
  </si>
  <si>
    <r>
      <rPr>
        <rFont val="Nunito"/>
        <color theme="1"/>
      </rPr>
      <t xml:space="preserve">4. </t>
    </r>
    <r>
      <rPr>
        <rFont val="Nunito"/>
        <b/>
        <color theme="1"/>
      </rPr>
      <t>Fokus di baris warna kuning, sesuaikan dengan status toko kamu sudah star seller/ belum</t>
    </r>
  </si>
  <si>
    <r>
      <rPr>
        <rFont val="Nunito"/>
        <color theme="1"/>
      </rPr>
      <t xml:space="preserve">*Kalo kategori ga ketemu, buka halaman </t>
    </r>
    <r>
      <rPr>
        <rFont val="Nunito"/>
        <b/>
        <color theme="1"/>
      </rPr>
      <t xml:space="preserve">Biaya Layanan Gratis Ongkir Xtra, 
</t>
    </r>
    <r>
      <rPr>
        <rFont val="Nunito"/>
        <color theme="1"/>
      </rPr>
      <t>lalu CTRL + F dan ketik keyword produk kamu. cth: Baju/ Pakaian/ Fashion</t>
    </r>
  </si>
  <si>
    <r>
      <rPr>
        <rFont val="Nunito"/>
        <color theme="1"/>
      </rPr>
      <t xml:space="preserve">*Kalo kategori ga ketemu, buka halaman </t>
    </r>
    <r>
      <rPr>
        <rFont val="Nunito"/>
        <b/>
        <color theme="1"/>
      </rPr>
      <t xml:space="preserve">Biaya Layanan, 
</t>
    </r>
    <r>
      <rPr>
        <rFont val="Nunito"/>
        <color theme="1"/>
      </rPr>
      <t>lalu CTRL + F dan ketik keyword produk kamu. cth: Baju/ Pakaian/ Fashion</t>
    </r>
  </si>
  <si>
    <t>Step 3: Tabel Ragkuman</t>
  </si>
  <si>
    <t>Singkatnya, tabel dibawah ini merupakan rangkuman dari masing" kategori, biaya administrasi dan tipe penjual</t>
  </si>
  <si>
    <t>namun belum ada produk per kategorinya, maka dari itu kita akan langsung hitung di kalkulatornya yang otomatis ada produk</t>
  </si>
  <si>
    <t>JENIS BIAYA PENJUAL</t>
  </si>
  <si>
    <t>TIPE PENJUAL</t>
  </si>
  <si>
    <t>STAR/STAR+ SELLER ATAU
TOTAL PESANAN SELESAI &gt;50 ATAU 
&gt;6 BULAN SEJAK PRODUK PERTAMA DI UPLOAD</t>
  </si>
  <si>
    <t>Biaya Administrasi 
Star/ Star+</t>
  </si>
  <si>
    <t>10.00%4/9,50%/9.00%/8.25%/6.75%/6.50%/5.25%/4.25%/2.50%
(sesuai kategori produk)</t>
  </si>
  <si>
    <t>Biaya Layanan 
Gratis Ongkir XTRA</t>
  </si>
  <si>
    <t>• Total pesanan selesai ≤500 atau ≤6 bulan: GRATIS
• Total pesanan selesai &gt;500 atau &gt;6 bulan:
6.00%/5.50%/5.00%/4.50%/4.00%/2.00%/1.50%/0.50%</t>
  </si>
  <si>
    <t>Biaya Layanan
Promo XTRA</t>
  </si>
  <si>
    <t>4,5%</t>
  </si>
  <si>
    <t>Biaya Proses Pesanan</t>
  </si>
  <si>
    <t>Rp1.250</t>
  </si>
  <si>
    <t>Biaya Layanan
 Produk Pre Order</t>
  </si>
  <si>
    <t>Total (Jika bergabung dalam semua program)</t>
  </si>
  <si>
    <t>10,50% sampai 23,50% + Rp1.250 (sesuai kategori produk)</t>
  </si>
  <si>
    <t>CALCULATOR UPDATE</t>
  </si>
  <si>
    <t>WA Admin untuk pertanyaan atau saran (085156685865)</t>
  </si>
  <si>
    <t>Gratis Ongkir XTRA</t>
  </si>
  <si>
    <t>Per 16 Juni 2025, shopee menetapkan biaya layanan per kategori, maks 20ribu</t>
  </si>
  <si>
    <r>
      <rPr/>
      <t xml:space="preserve">Cek Detailnya </t>
    </r>
    <r>
      <rPr>
        <color rgb="FF1155CC"/>
        <u/>
      </rPr>
      <t>Disini</t>
    </r>
    <r>
      <rPr/>
      <t xml:space="preserve"> jika ingin biaya terperinci, gunakan CTRL + F dan search kategori yang kamu jual.</t>
    </r>
  </si>
  <si>
    <t>Biaya Layanan XTRA</t>
  </si>
  <si>
    <t>Per 20 Juli 2025, promosi Biaya Layanan Promo XTRA akan berakhir. Setelah itu, 
Biaya Layanan Promo XTRA sebesar 2% akan diberlakukan dengan batas maks. Rp20.000 per kuantitas produk. 
Tapi Shopee masih kasih promo lebih rendah 30% jadi 1.4%</t>
  </si>
  <si>
    <t>Namun, Penjual yang telah bergabung dalam program Promo XTRA dan Gratis Ongkir XTRA sebelum 1 Juli 2025
masih akan mendapatkan keuntungan promosi spesial Biaya Layanan Promo XTRA, 
sebesar 1% dengan batas maks. Rp10.000 hingga 15 September 2025.</t>
  </si>
  <si>
    <t>2 Januari 2026</t>
  </si>
  <si>
    <t>Sheets akan di update dengan biaya admin terbaru (1/1/2026) pada tanggal 2 Januari 2026 (Jam 19:00)</t>
  </si>
  <si>
    <t>Promo Xtra+</t>
  </si>
  <si>
    <t>Sudah ditambahkan, Promo Xtra+ dikenakan biaya tambahan dari  2% biaya awal Promo Xtra 6.5%</t>
  </si>
  <si>
    <t>25 Februari 2026</t>
  </si>
  <si>
    <t>Update Biaya Administrasi per Kategori</t>
  </si>
  <si>
    <t>2 Mei 2026</t>
  </si>
  <si>
    <t>https://seller.shopee.co.id/edu/article/7216</t>
  </si>
  <si>
    <t>Gratis Ongkir Xtra Ukuran Biasa &amp; Khusus</t>
  </si>
  <si>
    <t>https://seller.shopee.co.id/edu/article/24877</t>
  </si>
  <si>
    <t>https://seller.shopee.co.id/edu/article/27370</t>
  </si>
  <si>
    <t>https://seller.shopee.co.id/edu/article/26487</t>
  </si>
  <si>
    <t>Kategori Fashion</t>
  </si>
  <si>
    <t>KATEGORI</t>
  </si>
  <si>
    <t>BIAYA ADMINISTRASI NON STAR, STAR/STAR+</t>
  </si>
  <si>
    <t>Aksesoris Fashion</t>
  </si>
  <si>
    <t>Aksesoris Rambut</t>
  </si>
  <si>
    <t>Bando &amp; Bandana, Ikat Rambut, Pita &amp; Scrunchie, Jepitan &amp; Pin Rambut, Rambut Palsu &amp; Extension, Hiasan Kepala, Tiara &amp; Mahkota Bunga, Aksesoris Rambut Lainnya</t>
  </si>
  <si>
    <t>9,00%</t>
  </si>
  <si>
    <t>Aksesoris Tambahan</t>
  </si>
  <si>
    <t>Bros &amp; Pin, Bordir, Liontin, Kancing Manset, Tato Temporer, Sapu Tangan, Aksesoris Tambahan Lainnya</t>
  </si>
  <si>
    <t>Anting</t>
  </si>
  <si>
    <t>Cincin</t>
  </si>
  <si>
    <t>Dasi</t>
  </si>
  <si>
    <t>Gelang Kaki</t>
  </si>
  <si>
    <t>Gelang Tangan &amp; Bangle</t>
  </si>
  <si>
    <t>Ikat Pinggang</t>
  </si>
  <si>
    <t>Kacamata &amp; Aksesoris</t>
  </si>
  <si>
    <t>Kacamata Hitam, Frame &amp; Lensa Kacamata, Tempat Kacamata &amp; Aksesoris, Aksesoris Kacamata Lainnya</t>
  </si>
  <si>
    <t>Kalung</t>
  </si>
  <si>
    <t>Sarung Tangan</t>
  </si>
  <si>
    <t>Set &amp; Paket Aksesoris</t>
  </si>
  <si>
    <t>Syal &amp; Selendang</t>
  </si>
  <si>
    <t>Topi</t>
  </si>
  <si>
    <t>Masker</t>
  </si>
  <si>
    <t>8,25%</t>
  </si>
  <si>
    <t>Logam Mulia</t>
  </si>
  <si>
    <t>Platinum &amp; Emas, Perak, Berlian, Permata, Logam Mulia Lainnya</t>
  </si>
  <si>
    <t>4,25%</t>
  </si>
  <si>
    <t>Perhiasan Berharga</t>
  </si>
  <si>
    <t>Kalung, Gelang Tangan, Cincin, Anting, Gelang Kaki, Liontin, Bros &amp; Pin, Set Perhiasan, Perhiasan Berharga Lainnya</t>
  </si>
  <si>
    <t>Aksesoris Fashion Lainnya</t>
  </si>
  <si>
    <t>Fashion Bayi &amp; Anak</t>
  </si>
  <si>
    <t>Aksesoris Bayi &amp; Anak</t>
  </si>
  <si>
    <t>Ransel, Tas Selempang &amp; Bahu, Tas Troli, Dompet, Tas &amp; Koper Lainnya, Jam Tangan, Topi, Kacamata, Aksesoris Rambut, Sarung Tangan, Ikat Pinggang, Kaos Kaki, Syal, Alat Penutup Telinga, Aksesoris Bayi &amp; Anak Lainnya, Jas Hujan, Sepatu Boot Hujan, Perlengkapan Hujan Lainnya</t>
  </si>
  <si>
    <t>Pakaian Anak Laki-Laki</t>
  </si>
  <si>
    <t>Kostum, Pakaian Dalam, Pakaian Tidur, Baju Renang, Kaos, Kaos Polo, Kemeja, Jaket &amp; Coat Reguler, Outerwear Musim Dingin, Rompi, Sweater &amp; Kardigan, Blazer, Hoodie, Outerwear Lainnya, Jeans, Celana, Celana Pendek, Overall, Jas &amp; Setelan, Pakaian Anak Laki-Laki Lainnya, Atasan Lainnya, Bawahan Lainnya</t>
  </si>
  <si>
    <t>Pakaian Anak Perempuan</t>
  </si>
  <si>
    <t>Kostum, Pakaian Dalam, Baju Tidur, Baju Renang, Kaos, Kaos Polo, Kemeja &amp; Blouse, Jaket &amp; Coat Reguler, Outerwear Musim Dingin, Rompi, Sweater &amp; Kardigan, Blazer, Hoodie, Outerwear Lainnya, Jeans, Celana Panjang, Celana Pendek, Rok, Legging, Romper, Jumpsuit &amp; Overall, Dress, Jas &amp; Setelan, Pakaian Anak Perempuan Lainnya, Atasan Lainnya, Bawahan Lainnya</t>
  </si>
  <si>
    <t>Pakaian Bayi</t>
  </si>
  <si>
    <t>Outerwear Reguler, Outerwear Musim Dingin, Dress, Celana Panjang &amp; Legging, Celana Pendek, Rok, Bawahan Lainnya, Baju Tidur, Atasan, Bodysuit &amp; Jumper, Set, Baju Renang, Pakaian Bayi Lainnya</t>
  </si>
  <si>
    <t>Sepatu Anak Laki-Laki</t>
  </si>
  <si>
    <t>Sepatu Boot, Sandal, Sepatu Sneaker, Flip Flop, Sepatu Formal, Loafers, Sepatu Anak Laki-Laki Lainnya</t>
  </si>
  <si>
    <t>Sepatu Anak Perempuan</t>
  </si>
  <si>
    <t>Sepatu Boot, Sandal, Sepatu Sneaker, Loafers, Flip Flop, Flats, Sepatu Anak Perempuan Lainnya</t>
  </si>
  <si>
    <t>Sepatu Bayi</t>
  </si>
  <si>
    <t>Fashion Bayi &amp; Anak Lainnya</t>
  </si>
  <si>
    <t>Fashion Muslim</t>
  </si>
  <si>
    <t>Pakaian Muslim Wanita</t>
  </si>
  <si>
    <t>Baju Olahraga Muslim, Baju Renang Muslim</t>
  </si>
  <si>
    <t>10,00%*</t>
  </si>
  <si>
    <t>Mukena &amp; Perlengkapan Sholat</t>
  </si>
  <si>
    <t>Set Perlengkapan Sholat, Sajadah, Peci, Songkok &amp; Kopiah, Mukena, Mukena Travel, Mukena &amp; Perlengkapan Sholat Lainnya</t>
  </si>
  <si>
    <t>Outerwear</t>
  </si>
  <si>
    <t>Rompi, Jaket, Mantel, Cardigan, Outerwear Lainnya</t>
  </si>
  <si>
    <t>Pakaian Muslim Anak</t>
  </si>
  <si>
    <t>Mukena, Hijab, Pakaian &amp; Set Muslim, Pakaian Muslim Anak Perempuan Lainnya, Pakaian Muslim Anak Laki-Laki, Pakaian Muslim Anak Lainnya</t>
  </si>
  <si>
    <t>Pakaian Muslim Pria</t>
  </si>
  <si>
    <t>Atasan, Gamis Pria, Celana, Sarung, Baju Melayu, Pakaian Muslim Pria Lainnya</t>
  </si>
  <si>
    <t>Khimar, Hijab Instan, Hijab Segi Empat, Pashmina, Ciput, Pin Hijab, Hijab Lainnya, Aksesoris Hijab Lainnya, Kaos Kaki, Handsock, Aksesoris Lainnya, Tunik, Kemeja, Blus, &amp; Inner, Atasan Menyusui, Atasan Muslim Lainnya, Gamis, Abaya, Dress Menyusui, Kaftan, Baju Kelelawar, Baju Kurung, Set Baju Muslim, Jumpsuit, Dress Lainnya, Rok, Celana Panjang, Legging, Celana Palazzo, Bawahan Lainnya, Pakaian Muslim Wanita Lainnya</t>
  </si>
  <si>
    <t>Set</t>
  </si>
  <si>
    <t>Fashion Muslim Lainnya</t>
  </si>
  <si>
    <t>Jam Tangan</t>
  </si>
  <si>
    <t>Aksesoris Jam Tangan</t>
  </si>
  <si>
    <t>Strap, Alat Servis Jam Tangan, Pengait Jam Tangan, Baterai Jam Tangan, Kotak Jam Tangan, Aksesoris Jam Tangan lainnya</t>
  </si>
  <si>
    <t>Jam Tangan Couple</t>
  </si>
  <si>
    <t>Jam Tangan Pria</t>
  </si>
  <si>
    <t>Jam Tangan Wanita</t>
  </si>
  <si>
    <t>Jam Tangan Lainnya</t>
  </si>
  <si>
    <t>Koper &amp; Tas Travel</t>
  </si>
  <si>
    <t>Tas Travel</t>
  </si>
  <si>
    <t>Tas Duffel</t>
  </si>
  <si>
    <t>Aksesoris Travel</t>
  </si>
  <si>
    <t>Passport Cover, Organizer Travel, Pelindung &amp; Sarung Koper, Tag Koper, Strap Koper, Gembok Koper, Timbangan Koper, Bantal Leher &amp; Penutup Mata, Botol &amp; Wadah Isi Ulang, Aksesoris Travel Lainnya</t>
  </si>
  <si>
    <t>Koper</t>
  </si>
  <si>
    <t>Tas Serut, Tas Lipat, Tas Travel Lainnya</t>
  </si>
  <si>
    <t>Koper &amp; Tas Travel Lainnya</t>
  </si>
  <si>
    <t>Pakaian Pria</t>
  </si>
  <si>
    <t>Kaos Kaki</t>
  </si>
  <si>
    <t>Atasan</t>
  </si>
  <si>
    <t>Kemeja, Kaos Polo, Kaos, Tanktop, Atasan Lainnya</t>
  </si>
  <si>
    <t>Celana Panjang</t>
  </si>
  <si>
    <t>Celana Panjang, Celana Panjang Lainnya, Cargo, Jogger</t>
  </si>
  <si>
    <t>Celana Panjang Jeans</t>
  </si>
  <si>
    <t>Celana Pendek</t>
  </si>
  <si>
    <t>Hoodie &amp; Sweatshirt</t>
  </si>
  <si>
    <t>Hoodie, Sweatshirt, Hoodie &amp; Sweatshirt Lainnya</t>
  </si>
  <si>
    <t>Jaket, Mantel, &amp; Rompi</t>
  </si>
  <si>
    <t>Jaket, Rompi, Jaket &amp; Mantel Musim Dingin, Jaket, Mantel, &amp; Rompi Lainnya</t>
  </si>
  <si>
    <t>Jas Formal</t>
  </si>
  <si>
    <t>Set Jas Formal, Jas &amp; Blazer Formal, Celana Formal, Rompi Formal, Jas Formal Lainnya</t>
  </si>
  <si>
    <t>Kostum</t>
  </si>
  <si>
    <t>Pakaian Dalam</t>
  </si>
  <si>
    <t>Celana Dalam, Kaos Dalam, Pakaian Dalam Termal, Pakaian Dalam Lainnya</t>
  </si>
  <si>
    <t>Pakaian Kerja</t>
  </si>
  <si>
    <t>Pakaian Tidur</t>
  </si>
  <si>
    <t>Pakaian Tradisional</t>
  </si>
  <si>
    <t>Atasan Tradisional, Bawahan Tradisional, Set Pakaian Tradisional, Pakaian Tradisional Lainnya</t>
  </si>
  <si>
    <t>Set Pakaian Pria</t>
  </si>
  <si>
    <t>Sweater &amp; Cardigan</t>
  </si>
  <si>
    <t>Pakaian Pria Lainnya</t>
  </si>
  <si>
    <t>Pakaian Wanita</t>
  </si>
  <si>
    <t>Kaos Kaki &amp; Stocking</t>
  </si>
  <si>
    <t>Stocking, Kaos Kaki &amp; Stocking Lainnya</t>
  </si>
  <si>
    <t>Tanktop &amp; Kamisol, Kemben, Kaos, Kemeja &amp; Blouse, Kaus Polo, Bodysuit, Atasan Lainnya</t>
  </si>
  <si>
    <t>Baju Hamil</t>
  </si>
  <si>
    <t>Bra Menyusui, Dress Hamil, Atasan Hamil, Baju Menyusui, Set Baju Hamil, Celana Hamil, Baju Hamil Lainnya</t>
  </si>
  <si>
    <t>Celana Jeans</t>
  </si>
  <si>
    <t>Celana Panjang &amp; Legging</t>
  </si>
  <si>
    <t>Legging &amp; Tregging, Celana Panjang, Celana Panjang &amp; Legging Lainnya</t>
  </si>
  <si>
    <t>Celana Pendek, Rok Celana, Celana Pendek Lainnya</t>
  </si>
  <si>
    <t>Dress</t>
  </si>
  <si>
    <t>Sweatshirt, Hoodie, Hoodie &amp; Sweatshirt Lainnya</t>
  </si>
  <si>
    <t>Jaket &amp; Mantel Musim Dingin, Cape, Blazer, Jaket, Rompi, Jaket, Mantel, &amp; Rompi Lainnya</t>
  </si>
  <si>
    <t>Jumpsuit, Playsuit, &amp; Overall</t>
  </si>
  <si>
    <t>Jumpsuit, Playsuit, Overall, Jumpsuit, Playsuit, &amp; Overall Lainnya</t>
  </si>
  <si>
    <t>Kain</t>
  </si>
  <si>
    <t>Batik, Kebaya, Katun, Wol, Beludru, Sutra, &amp; Satin, Kulit, Vinil &amp; Nilon, Denim, Kanvas, Songket, Kain Lainnya</t>
  </si>
  <si>
    <t>Set Pakaian Dalam, Bra, Celana Dalam, Pakaian Dalam Termal, Strap, Padding, Stiker Nipple, Aksesoris Bra Lainnya, Korset, Celana Stretch, Sexy Lingerie, Pakaian Dalam Lainnya</t>
  </si>
  <si>
    <t>Pakaian Tidur &amp; Piyama</t>
  </si>
  <si>
    <t>Piyama, Daster, Kimono, Pakaian Tidur &amp; Piyama Lainnya</t>
  </si>
  <si>
    <t>Atasan Tradisional, Bawahan Tradisional, Set Pakaian Tradisional, Dress Tradisional, Pakaian Tradisional Lainnya</t>
  </si>
  <si>
    <t>Rok</t>
  </si>
  <si>
    <t>Set Pakaian Couple, Set Pakaian Keluarga, Set Wanita, Set Lainnya</t>
  </si>
  <si>
    <t>Wedding Dress</t>
  </si>
  <si>
    <t>Pakaian Wanita Lainnya</t>
  </si>
  <si>
    <t>Sepatu Pria</t>
  </si>
  <si>
    <t>Aksesoris &amp; Perawatan Sepatu</t>
  </si>
  <si>
    <t>Alat Perawatan &amp; Pembersih Sepatu, Parfum Sepatu, Shoe Tree &amp; Horns, Insole Sepatu, Aksesoris &amp; Perawatan Sepatu Lainnya, Tali Sepatu</t>
  </si>
  <si>
    <t>Boot</t>
  </si>
  <si>
    <t>Boot Fashion, Sepatu Boot Hujan, Safety Boot, Boot Lainnya</t>
  </si>
  <si>
    <t>Loafer</t>
  </si>
  <si>
    <t>Oxford</t>
  </si>
  <si>
    <t>Sandal</t>
  </si>
  <si>
    <t>Sandal Jepit, Sandal Slide, Sandal Rumah, Sandal Kesehatan, Sandal Lainnya</t>
  </si>
  <si>
    <t>Slip-On &amp; Mules</t>
  </si>
  <si>
    <t>Sneakers</t>
  </si>
  <si>
    <t>Sepatu Pria Lainnya</t>
  </si>
  <si>
    <t>Sepatu Wanita</t>
  </si>
  <si>
    <t>Parfum Sepatu, Sol Dalam Sepatu, Shoe Tree &amp; Horns, Perawatan Sepatu, Tali Sepatu, Aksesoris &amp; Perawatan Sepatu Lainnya</t>
  </si>
  <si>
    <t>Boots</t>
  </si>
  <si>
    <t>Sepatu Boot Hujan, Sepatu Boot Fashion, Boots Lainnya</t>
  </si>
  <si>
    <t>Heels</t>
  </si>
  <si>
    <t>Sandal Jepit &amp; Sandal Lainnya</t>
  </si>
  <si>
    <t>Sandal Flat, Sandal Jepit, Sandal Kesehatan, Sandal Rumah, Sandal Lainnya</t>
  </si>
  <si>
    <t>Sepatu Flat</t>
  </si>
  <si>
    <t>Flat &amp; Ballerina, Loafer, Sepatu Oxford, Slip-On, Mules &amp; Mary Janes, Sepatu Flat Lainnya</t>
  </si>
  <si>
    <t>Wedges</t>
  </si>
  <si>
    <t>Sepatu Wanita Lainnya</t>
  </si>
  <si>
    <t>Tas Pria</t>
  </si>
  <si>
    <t>Clutch</t>
  </si>
  <si>
    <t>Dompet</t>
  </si>
  <si>
    <t>Dompet Kartu, Dompet Koin, Dompet Kunci &amp; Handphone, Dompet Lipat, Dompet Panjang, Dompet Lainnya</t>
  </si>
  <si>
    <t>Ransel Pria</t>
  </si>
  <si>
    <t>Tas Kerja</t>
  </si>
  <si>
    <t>Tas Laptop</t>
  </si>
  <si>
    <t>Tas &amp; Case Laptop, Sarung Laptop, Ransel Laptop, Tas Laptop Lainnya</t>
  </si>
  <si>
    <t>Tas Pinggang Pria</t>
  </si>
  <si>
    <t>Tas Selempang &amp; Bahu Pria</t>
  </si>
  <si>
    <t>Tote Bag</t>
  </si>
  <si>
    <t>Tas Pria Lainnya</t>
  </si>
  <si>
    <t>Tas Wanita</t>
  </si>
  <si>
    <t>Aksesoris Tas</t>
  </si>
  <si>
    <t>Tali Tas, Gantungan Tas, Hiasan &amp; Gantungan Kunci, Organizer Tas, Produk Perawatan &amp; Pembersih Tas, Aksesoris Tas Wanita Lainnya</t>
  </si>
  <si>
    <t>Dompet Wanita</t>
  </si>
  <si>
    <t>Dompet Kartu, Dompet Koin, Dompet Kunci &amp; Handphone, Dompet Lipat, Dompet Panjang, Dompet Wanita Lainnya</t>
  </si>
  <si>
    <t>Ransel Wanita</t>
  </si>
  <si>
    <t>Tas Pinggang Wanita</t>
  </si>
  <si>
    <t>Tas Selempang &amp; Bahu Wanita</t>
  </si>
  <si>
    <t>Top Handle Bag</t>
  </si>
  <si>
    <t>Tas Wanita Lainnya</t>
  </si>
  <si>
    <t>*Biaya Administrasi di atas merupakan Biaya Administrasi Final. Kategori dengan Biaya Administrasi Final 10,00% telah mendapatkan biaya 20% lebih rendah dari Biaya Administrasi Dasar 12,5%.</t>
  </si>
  <si>
    <t>Kategori FMCG</t>
  </si>
  <si>
    <t>SUB KATEGORI</t>
  </si>
  <si>
    <t>JENIS PRODUK</t>
  </si>
  <si>
    <t>Ibu &amp; Bayi</t>
  </si>
  <si>
    <t>Inflatable &amp; Perosotan</t>
  </si>
  <si>
    <t>Keamanan Bayi</t>
  </si>
  <si>
    <t>Baby Monitor, Kelambu, Bumper, Rail, &amp; Guard, Pelindung Sudut, Pintu &amp; Pagar Bayi, Pengaman Laci &amp; Lemari, Alat Keamanan Bayi Lainnya</t>
  </si>
  <si>
    <t>9,50%</t>
  </si>
  <si>
    <t>Kesehatan Kehamilan</t>
  </si>
  <si>
    <t>Susu Ibu Hamil, Vitamin &amp; Suplemen Ibu Hamil, Pelembab &amp; Cream, Kesehatan Kehamilan Lainnya</t>
  </si>
  <si>
    <t>Mainan</t>
  </si>
  <si>
    <t>Mainan Balok, Puzzle, Mainan Slime &amp; Squishy</t>
  </si>
  <si>
    <t>Perlengkapan Ibu Hamil</t>
  </si>
  <si>
    <t>Penyangga Perut, Bantal Ibu Hamil, Perlengkapan Ibu Hamil Lainnya</t>
  </si>
  <si>
    <t>Perlengkapan Makan Bayi</t>
  </si>
  <si>
    <t>Pompa ASI &amp; Aksesoris, Breast Pad, Shell, &amp; Shield, Apron Menyusui, Kantong ASI, Perlengkapan Menyusui Lainnya</t>
  </si>
  <si>
    <t>Perlengkapan Travelling Bayi</t>
  </si>
  <si>
    <t>Gendongan Bayi, Stroller &amp; Perlengkapan Travelling, Aksesoris Stroller, Dudukan Mobil &amp; Motor, Aksesoris Dudukan Mobil &amp; Motor, Tas Perlengkapan Bayi, Sabuk Pengaman Anak, Perlengkapan Travelling Bayi Lainnya</t>
  </si>
  <si>
    <t>Popok &amp; Pispot</t>
  </si>
  <si>
    <t>Perlak, Pispot, Popok Sekali Pakai, Popok Kain &amp; Aksesoris, Popok &amp; Pispot Lainnya</t>
  </si>
  <si>
    <t>Kamar Bayi</t>
  </si>
  <si>
    <t>Boks &amp; Matras Tidur Bayi, Ayunan Bayi, Baby Walker, Selimut &amp; Bedong, Bantal &amp; Guling, Sprei, Tempat Penyimpanan, Kamar Bayi Lainnya, Matras &amp; Sprei Lainnya</t>
  </si>
  <si>
    <t>Kesehatan Bayi</t>
  </si>
  <si>
    <t>Perawatan Hidung &amp; Pernafasan, Baby Lotion &amp; Cream, Minyak, Bedak, Perawatan Mulut Bayi, Sun Care Bayi, Kesehatan Bayi Lainnya, Perawatan Kulit Bayi Lainnya</t>
  </si>
  <si>
    <t>Mainan &amp; Playmat Bayi, Pagar Mainan Bayi, Mainan Saat Mandi, Crib Mobile &amp; Rattle, Gigitan Bayi, Boneka &amp; Aksesoris, Rumah Boneka &amp; Aksesoris, Mainan Boneka, Mainan Peran, Kendaraan Mainan, Sepeda, Skuter, &amp; Ride-On, Tenda Mainan, Terowongan Mainan, &amp; Ball Pit, Kolam, Pelampung, &amp; Mainan Pasir, Mainan Olahraga, Mainan Terbang, Layang-layang, &amp; Kincir Angin, Pistol Mainan, Mainan Matematika, Mainan Ilmu Pengetahuan Alam &amp; Teknologi, Shape Sorter, Mainan Musik, Mainan Tablet &amp; Komputer, Seni &amp; Kerajinan, Kartu Edukasi Anak, Poster Edukatif, Mainan Robot, Mainan Lainnya, Mainan Bayi &amp; Anak Lainnya, Mainan Outdoor Lainnya, Mainan Edukatif Lainnya, Boneka &amp; Mainan Boneka Lainnya</t>
  </si>
  <si>
    <t>Kursi Makan Bayi, Celemek Bayi, Dot Bayi, Food Processor, Gelas Bayi, Peralatan Makan Bayi, Tempat Makan Bayi, Peralatan Makan Lainnya, Perlengkapan Makan Bayi Lainnya, Tas Pendingin Botol Susu, Botol Susu &amp; Aksesoris, Penghangat Botol, Sterilizer, Perlengkapan Botol Susu Lainnya, Pembersih Botol Susu</t>
  </si>
  <si>
    <t>Perlengkapan Mandi</t>
  </si>
  <si>
    <t>Perawatan Rambut &amp; Sabun Mandi, Parfum Bayi, Tisu, Detergen Pakaian Bayi, Bak Mandi &amp; Dudukan, Jas Mandi, Handuk, &amp; Lap Mandi, Penutup Rambut, Alat &amp; Aksesoris Mandi, Alat Perawatan Bayi, Perlengkapan Mandi Lainnya</t>
  </si>
  <si>
    <t>Set &amp; Paket Hadiah</t>
  </si>
  <si>
    <t>Susu Formula &amp; Makanan Bayi</t>
  </si>
  <si>
    <t>Susu Formula, Bubur &amp; Sereal Bayi, Camilan Bayi, Susu Formula &amp; Makanan Bayi Lainnya</t>
  </si>
  <si>
    <t>6,75%</t>
  </si>
  <si>
    <t>Vitamin &amp; Suplemen Bayi</t>
  </si>
  <si>
    <t>6,50%</t>
  </si>
  <si>
    <t>Ibu &amp; Bayi Lainnya</t>
  </si>
  <si>
    <t>Kesehatan</t>
  </si>
  <si>
    <t>Perawatan Diri</t>
  </si>
  <si>
    <t>Hand Sanitizer</t>
  </si>
  <si>
    <t>Obat-obatan &amp; Alat Kesehatan</t>
  </si>
  <si>
    <t>Obat Bebas (OTC), Obat Tradisional, Timbangan &amp; Alat Ukur Kadar Lemak, Stetoskop, Obat Pereda Nyeri, Alat Laboratorium, Sarung Tangan &amp; Masker Medis, Alat Medis Lainnya, Plester &amp; Perban, Alat P3K, Salep &amp; Krim, Antiseptik &amp; Disinfektan, P3K Lainnya, Obat Resep</t>
  </si>
  <si>
    <t>Alat Pijat &amp; Terapi, Popok Dewasa, Perawatan Telinga, Cairan Lensa &amp; Obat Tetes Mata</t>
  </si>
  <si>
    <t>Kesehatan Seksual</t>
  </si>
  <si>
    <t>Kondom, Pelumas, Penunjang Performa, Kesehatan Seksual Lainnya</t>
  </si>
  <si>
    <t>Alat Ukur Tekanan Darah, Alat Ukur Gula Darah, Oximeter, Termometer, Alat Tes &amp; Monitor Lainnya, Alat Bantu Jalan, Kursi Roda, Alat Penopang Tubuh, Alat Bantu Dengar, Alat Bantu Cedera &amp; Disabilitas Lainnya, Perawatan Hidung &amp; Pernafasan</t>
  </si>
  <si>
    <t>Anti Nyamuk &amp; Serangga, Sikat Gigi, Sikat Gigi Elektrik, Pasta Gigi, Dental Floss, Obat Kumur, Perawatan Gigi Palsu, Pemutih Gigi, Alat Ortodontik, Kesehatan Mulut Lainnya, Pembalut &amp; Panty Liner, Tampon, Tes Kehamilan &amp; Kesuburan, Menstrual Cup, Pembersih Kewanitaan, Cream Kewanitaan, Kewanitaan Lainnya, Perawatan Diri Lainnya, Lensa Kontak, Kesehatan Mata Lainnya</t>
  </si>
  <si>
    <t>Suplemen Makanan</t>
  </si>
  <si>
    <t>Diet &amp; Detoks, Suplemen Kecantikan, Kebugaran, Kesejahteraan, Suplemen Makanan Lainnya</t>
  </si>
  <si>
    <t>Kesehatan Lainnya</t>
  </si>
  <si>
    <t>Makanan &amp; Minuman</t>
  </si>
  <si>
    <t>Makanan Ringan</t>
  </si>
  <si>
    <t>Biskuit, Kue, &amp; Wafer, Keripik &amp; Kerupuk, Biji-bijian, Popcorn, Rumput Laut, Kacang, Puding, Jeli, &amp; Marshmallow, Dendeng, Buah Kering, Snack Seafood, Makanan Ringan Kering Lainnya, Abon, Makanan Ringan Lainnya</t>
  </si>
  <si>
    <t>Permen, Cokelat</t>
  </si>
  <si>
    <t>Buah Kaleng, Daging Kaleng, Seafood Kaleng, Sayur Kaleng, Sup Kaleng, Makanan Kaleng Lainnya</t>
  </si>
  <si>
    <t>Minuman</t>
  </si>
  <si>
    <t>Kopi, Teh, Minuman Cokelat, Minuman Energi &amp; Isotonik, Air Mineral, Jus &amp; Sirup, Cordial &amp; Sirup, Minuman Bersoda, Minuman Bubuk Instan, Minuman Pencuci Mulut, Minuman Tradisional &amp; Herbal, Topping Minuman, Susu Non-Dairy, Minuman Lainnya</t>
  </si>
  <si>
    <t>Minuman Alkohol</t>
  </si>
  <si>
    <t>Bir &amp; Cider, Wine &amp; Champagne, Liquor &amp; Spirits, Sake, Soju, &amp; Umeshu, Minuman Alkohol Lainnya</t>
  </si>
  <si>
    <t>Set Hadiah &amp; Hampers</t>
  </si>
  <si>
    <t>Makanan Instan</t>
  </si>
  <si>
    <t>Makanan Siap Saji, Nasi &amp; Bubur Instan, Hotpot Instan, Mie &amp; Pasta Instan, Makanan Instan Lainnya</t>
  </si>
  <si>
    <t>Roti &amp; Kue</t>
  </si>
  <si>
    <t>Roti, Kue &amp; Pie, Pastry, Roti &amp; Kue Lainnya</t>
  </si>
  <si>
    <t>Susu &amp; Olahan</t>
  </si>
  <si>
    <t>Susu Segar, Susu UHT, Susu Kental Manis &amp; Evaporasi, Susu Bubuk, Yoghurt, Krimer, Mentega &amp; Margarin, Keju, Tahu, Susu &amp; Olahan Lainnya, Susu Lainnya</t>
  </si>
  <si>
    <t>Bahan Baking</t>
  </si>
  <si>
    <t>Tepung Premix Instan, Tepung, Penyedap Kue, Baking Powder &amp; Soda Kue, Bahan Baking Lainnya, Pewarna Makanan, Bahan Dekorasi Kue</t>
  </si>
  <si>
    <t>Biji-bijian &amp; Kacang-kacangan, Seafood Kering, Makanan Herbal &amp; Tradisional, Mie, Beras, Pasta, Acar Sayuran, Makanan Kering Lainnya, Bahan Pokok Lainnya</t>
  </si>
  <si>
    <t>Kebutuhan Memasak</t>
  </si>
  <si>
    <t>Minyak, Lada, Garam, Rempah-rempah, Kecap &amp; Saus Lainnya, Dressing, Saus Cabai &amp; Sambal, Cuka, Anggur Masak, Gula, Pemanis, Penambah Rasa, Tepung Bumbu, Bumbu Masak Lainnya, Kebutuhan Memasak Lainnya, Kaldu, Saus, &amp; Sup Instan, Bumbu Masak Instan</t>
  </si>
  <si>
    <t>Makanan Segar &amp; Beku</t>
  </si>
  <si>
    <t>Daging Sapi, Daging Ayam, Daging Babi, Daging Kambing, Ikan, Udang, Kepiting, Daging Vegetarian, Kol &amp; Kubis, Rempah Segar, Sayuran Daun, Terong &amp; Labu, Brokoli &amp; Kembang Kol, Cabai &amp; Paprika, Bawang &amp; Jahe, Kacang-kacangan &amp; Jagung, Umbi-umbian &amp; Sayuran Batang, Kecambah, Sayuran Salad, Sayur Potong &amp; Paket Aneka Sayur, Sayuran Lainnya, Apel &amp; Pir, Pisang, Buah Beri, Jeruk, Lemon &amp; Limau, Anggur, Melon &amp; Semangka, Buah Berbiji Tengah (Alpukat, Kurma, Ceri, dll), Buah Tropis &amp; Eksotis, Buah Potong &amp; Paket Aneka Buah, Buah Lainnya, Jamur, Makanan Beku Olahan, Daging &amp; Seafood Beku, Daging Lainnya, Makanan Segar &amp; Beku Lainnya, Seafood Lainnya</t>
  </si>
  <si>
    <t>Menu Sarapan</t>
  </si>
  <si>
    <t>Madu &amp; Olesan, Selai &amp; Olesan, Sereal, Granola, &amp; Oat, Bar Sereal, Menu Sarapan Lainnya</t>
  </si>
  <si>
    <t>Es Krim</t>
  </si>
  <si>
    <t>Telur</t>
  </si>
  <si>
    <t>Makanan &amp; Minuman Lainnya</t>
  </si>
  <si>
    <t>Perawatan &amp; Kecantikan</t>
  </si>
  <si>
    <t>Alat Kecantikan</t>
  </si>
  <si>
    <t>Aksesoris Make Up Lainnya, Kapas, Tas Make Up, Kaca / Cermin, Pembersih Make Up Brush, Make Up Brush, Make Up Sponge &amp; Applicator, Penjepit Bulu Mata, Eyebrow Template, Bulu Mata Palsu, Skot Mata, Rautan, Facial Steamer, Alat Pelangsing &amp; Pijat Wajah, Alat Pembersih Wajah, Alat Perawatan Wajah Lainnya, Alat Pelangsing Tubuh, Alat Penghilang Bulu Rambut, Sisir, Hair Dryer, Peralatan Styling Rambut, Alat Styling Heatless, Alat Rambut Lainnya, Alat Kecantikan Lainnya</t>
  </si>
  <si>
    <t>Kosmetik</t>
  </si>
  <si>
    <t>Make Up Base &amp; Primer, Foundation, BB &amp; CC Cream, Bedak, Concealer &amp; Corrector, Bronzer, Contour &amp; Highlighter, Setting &amp; Finishing Spray, Blush, Kosmetik Wajah Lainnya, Eyeshadow, Primer Mata, Eyeliner, Maskara, Eyebrow, Kosmetik Mata Lainnya, Lipstik, Lip Gloss, Lip Liner, Lip Tint, Lip Plumper, Kosmetik Bibir Lainnya, Pembersih Make Up, Kosmetik Lainnya</t>
  </si>
  <si>
    <t>Paket &amp; Set Kecantikan</t>
  </si>
  <si>
    <t>Parfum &amp; Wewangian</t>
  </si>
  <si>
    <t>Perawatan Pria</t>
  </si>
  <si>
    <t>Perawatan Tubuh, Pembersih Wajah, Pelembab &amp; Treatment, Perawatan Setelah Bercukur, Cream, Foam &amp; Gel, Pisau Cukur, Alat Cukur, Sikat Cukur, Trimmers, Gunting &amp; Groomer Multi-fungsi, Aksesoris Cukur, Perawatan Rambut, Perawatan Pria Lainnya, Perawatan Wajah Lainnya, Shaving &amp; Grooming Lainnya</t>
  </si>
  <si>
    <t>Perawatan Rambut</t>
  </si>
  <si>
    <t>Shampo, Pewarna Rambut, Treatment Rambut, Kondisioner Rambut dan Kulit Kepala, Hair Styling, Perawatan Rambut Lainnya</t>
  </si>
  <si>
    <t>Perawatan Tangan, Kaki &amp; Kuku</t>
  </si>
  <si>
    <t>Masker Tangan, Lotion, Cream &amp; Scrub, Sabun Cuci Tangan, Perawatan Tangan Lainnya, Deodoran Kaki, Masker Kaki, Lotion, Cream &amp; Scrub, Perawatan Kaki Lainnya, Base &amp; Top Coat, Cat Kuku, Pembersih Cat Kuku, Treatment Kuku, Kuku Palsu, Nail Art &amp; Sticker, Alat &amp; Mesin Manicure, Perawatan Kuku Lainnya, Perawatan Tangan, Kaki &amp; Kuku Lainnya</t>
  </si>
  <si>
    <t>Perawatan Tubuh</t>
  </si>
  <si>
    <t>Sabun Mandi, Scrub &amp; Peel Tubuh, Masker Tubuh, Minyak Tubuh, Body Cream, Body Lotion &amp; Body Butter, Deodoran, Minyak Pijat, Cream &amp; Wax Penghilang Bulu Rambut, Sunscreen &amp; Aftersun Tubuh, Tanning Oil &amp; Self Tanners, Perawatan Payudara, Perawatan Tubuh Lainnya, Sun Care Lainnya</t>
  </si>
  <si>
    <t>Perawatan Wajah</t>
  </si>
  <si>
    <t>Pembersih Wajah, Toner, Pelembab Wajah, Minyak Wajah, Facial Mist, Serum &amp; Essence Wajah, Scrub &amp; Peel Wajah, Masker Wajah, Sunscreen Wajah, Perawatan Wajah After Sun, Kertas Minyak, Treatment Jerawat, Perawatan Wajah Lainnya, Cream Mata, Masker Mata, Serum Alis &amp; Bulu Mata, Treatment Mata Lainnya, Pelembab Bibir, Scrub &amp; Exfoliator Bibir, Masker Bibir, Treatment Bibir Lainnya</t>
  </si>
  <si>
    <t>Perawatan &amp; Kecantikan Lainnya</t>
  </si>
  <si>
    <t>Kategori Elektronik</t>
  </si>
  <si>
    <t>Audio</t>
  </si>
  <si>
    <t>Media Player</t>
  </si>
  <si>
    <t>MP3 &amp; MP4 Player, CD, DVD, &amp; Blu-ray Player, Voice Recorders, Radio &amp; Pemutar Kaset, Media Player Lainnya</t>
  </si>
  <si>
    <t>Amplifier &amp; Mixer</t>
  </si>
  <si>
    <t>Kabel &amp; Konverter Audio &amp; Video</t>
  </si>
  <si>
    <t>Mikrofon &amp; Aksesoris</t>
  </si>
  <si>
    <t>Perangkat Audio &amp; Speaker</t>
  </si>
  <si>
    <t>Speaker, Home Theater &amp; Karaoke, AV Receiver, Perangkat Audio &amp; Speaker Lainnya</t>
  </si>
  <si>
    <t>Earphone, Headphone, &amp; Headset</t>
  </si>
  <si>
    <t>Audio Lainnya</t>
  </si>
  <si>
    <t>Elektronik</t>
  </si>
  <si>
    <t>Kelistrikan</t>
  </si>
  <si>
    <t>Stop Kontak &amp; Sambungan Kabel, Pengaman Stop Kontak, Penghemat Listrik, Bel, Saklar, Alarm, Anti Petir, Kelistrikan Lainnya</t>
  </si>
  <si>
    <t>Baterai</t>
  </si>
  <si>
    <t>Water Heater</t>
  </si>
  <si>
    <t>Peralatan Listrik Kecil</t>
  </si>
  <si>
    <t>Foot Bath &amp; Spa</t>
  </si>
  <si>
    <t>Pengering Sepatu, Penghangat Ruangan, Peralatan Listrik Besar Lainnya</t>
  </si>
  <si>
    <t>Flosser Elektrik, Telepon Kabel, Telepon Wireless, Mesin Fax, Telepon Lainnya, Perlengkapan Listrik Kecil Lainnya</t>
  </si>
  <si>
    <t>Remot Kontrol</t>
  </si>
  <si>
    <t>Rokok Elektronik &amp; Shisha</t>
  </si>
  <si>
    <t>Pods, Mods, &amp; Hookah, Liquid &amp; Perasa Rokok Elektronik/Shisha, Aksesoris Rokok Elektronik/Shisha, Perlengkapan Rokok Elektronik/Shisha, Rokok Elektronik Lainnya</t>
  </si>
  <si>
    <t>Peralatan Listrik Besar</t>
  </si>
  <si>
    <t>Mesin Cuci, Pengering Pakaian, Mesin Cuci &amp; Pengering Lainnya, AC, AC Portable, Kipas Angin, Pendingin Ruangan Lainnya</t>
  </si>
  <si>
    <t>Mesin Jahit &amp; Aksesoris, Setrika &amp; Mesin Uap, Purifier, Dehumidifier, Purifier &amp; Humidifier Lainnya, Penyedot Debu &amp; Peralatan Perawatan Lantai</t>
  </si>
  <si>
    <t>Perangkat Dapur</t>
  </si>
  <si>
    <t>Dispenser &amp; Filter Air, Kompor &amp; Regulator Gas, Pemanas Air, Kulkas Wine, Juicer, Blender &amp; Mesin Kacang Kedelai, Mesin Kopi &amp; Aksesoris, Mixer, Dishwashers, Air Fryer, Deep Fryer, Microwave, Oven, Pemanggang Roti, Food Processor &amp; Penggiling Daging, Alat Masak Serbaguna, Panci Presto, Slow Cooker &amp; Mesin Sous Vide, Penanak Nasi, Pembuat Waffle &amp; Crepe, Perebus Telur, Pembuat Roti, Pembuat Takoyaki, Pembuat Dessert, Pembuat Soda, Peralatan Masak Khusus Lainnya, Kulkas, Freezer, Penghisap Asap Dapur, Perangkat Dapur Lainnya</t>
  </si>
  <si>
    <t>TV &amp; Aksesoris</t>
  </si>
  <si>
    <t>TV, Antena TV, TV Box &amp; Receiver TV, Bracket TV, TV &amp; Aksesoris Lainnya</t>
  </si>
  <si>
    <t>Proyektor &amp; Aksesoris</t>
  </si>
  <si>
    <t>Proyektor &amp; Layar Proyektor, Pointer, Proyektor &amp; Aksesoris Lainnya</t>
  </si>
  <si>
    <t>5,25%</t>
  </si>
  <si>
    <t>Elektronik Lainnya</t>
  </si>
  <si>
    <t>Gaming &amp; Konsol</t>
  </si>
  <si>
    <t>Konsol Game</t>
  </si>
  <si>
    <t>Playstation, Xbox, Wii, Nintendo 3DS &amp; DS, Gameboy, Switch, PS Vita, PSP, Konsol Game Lainnya</t>
  </si>
  <si>
    <t>Video Game</t>
  </si>
  <si>
    <t>Playstation, Xbox, Wii, Nintendo 3DS &amp; DS, Gameboy, Switch, PS Vita, PSP, Game PC, Video Game Lainnya</t>
  </si>
  <si>
    <t>Aksesoris Konsol</t>
  </si>
  <si>
    <t>Gaming &amp; Konsol Lainnya</t>
  </si>
  <si>
    <t>Aksesoris</t>
  </si>
  <si>
    <t>Tongsis, Tomsis, Flash &amp; Lampu Selfie Handphone, Aksesoris Selfie Lainnya, Lensa Tambahan Handphone, Lazypod, Phone Holder, Tali &amp; Gantungan Handphone, Pouch Handphone, Aksesoris Lainnya, Casing, Penggulung, &amp; Pengikat Kabel, Travel Adaptor, Kabel &amp; Adaptor Handphone, Charger, Charger Docking, Kabel, Charger &amp; Adaptor Lainnya, Casing &amp; Skin Tablet, Casing &amp; Skin Handphone, Pelindung Layar Handphone, Casing &amp; Skin Lainnya, Casing &amp; Skin Earphone</t>
  </si>
  <si>
    <t>Perangkat Wearable</t>
  </si>
  <si>
    <t>Perangkat VR</t>
  </si>
  <si>
    <t>Aksesoris Perangkat Wearable, Kipas USB, Stylus, Baterai, Powerbank, Powercase, Powerbank &amp; Baterai Lainnya</t>
  </si>
  <si>
    <t>Smartwatch &amp; Fitness Tracker, Pelacak GPS, Perangkat Wearable Lainnya</t>
  </si>
  <si>
    <t>Alat Casting, Kartu Memori</t>
  </si>
  <si>
    <t>Kartu Perdana</t>
  </si>
  <si>
    <t>Walkie Talkie</t>
  </si>
  <si>
    <t>Modem, USB &amp; Lampu Handphone</t>
  </si>
  <si>
    <t>Handphone</t>
  </si>
  <si>
    <t>Tablet</t>
  </si>
  <si>
    <t>Handphone &amp; Aksesoris Lainnya</t>
  </si>
  <si>
    <t>Kamera &amp; Drone</t>
  </si>
  <si>
    <t>Aksesoris Kamera</t>
  </si>
  <si>
    <t>Lighting &amp; Perlengkapan Studio Foto, Roll Film &amp; Kertas Foto, Printer Foto, Charger Baterai, Baterai &amp; Battery Grip, Tripod, Monopod, &amp; Aksesoris, Aksesoris Kamera Lainnya, Gimbal &amp; Stabilizer</t>
  </si>
  <si>
    <t>Kamera Keamanan</t>
  </si>
  <si>
    <t>Kamera CCTV, DVR, Kamera Dummy, Kamera Pengintai, Kamera Keamanan Lainnya</t>
  </si>
  <si>
    <t>Perawatan Kamera</t>
  </si>
  <si>
    <t>Dry Box &amp; Cabinet, Cleaning Kit, Silica Gel, Blower, Lenspen &amp; Brush, Perawatan Kamera Lainnya</t>
  </si>
  <si>
    <t>Aksesoris Drone</t>
  </si>
  <si>
    <t>Flash, Flash Trigger, Flash Diffuser, Aksesoris Flash Lainnya, Tas &amp; Casing Kamera</t>
  </si>
  <si>
    <t>Aksesoris Lensa</t>
  </si>
  <si>
    <t>Mount &amp; Adaptor Lensa, Cap Lensa, Filter Lensa, Hood Lensa, Aksesoris Lensa Lainnya</t>
  </si>
  <si>
    <t>Drone</t>
  </si>
  <si>
    <t>Kamera</t>
  </si>
  <si>
    <t>Kamera Pocket, Kamera Mirrorless, Kamera Action, Camcorder, Kamera Instan, Kamera Analog, DSLR, Kamera Lainnya</t>
  </si>
  <si>
    <t>Lensa</t>
  </si>
  <si>
    <t>Kamera &amp; Drone Lainnya</t>
  </si>
  <si>
    <t>Komputer &amp; Aksesoris</t>
  </si>
  <si>
    <t>Aksesoris Desktop &amp; Laptop</t>
  </si>
  <si>
    <t>USB HUB &amp; Card Reader, Webcam, Pelindung Laptop &amp; Skin Laptop, Cooling Pad, Meja &amp; Stand Laptop, Pelindung Keyboard &amp; Trackpad, Baterai Laptop, Charger &amp; Adaptor Laptop, Perangkat Video Conference, Aksesoris Desktop &amp; Laptop Lainnya, Mouse Pad</t>
  </si>
  <si>
    <t>Keyboard &amp; Mouse</t>
  </si>
  <si>
    <t>Mouse, Keyboard, Drawing Tablet, Keyboard &amp; Mouse Lainnya</t>
  </si>
  <si>
    <t>Komponen Network</t>
  </si>
  <si>
    <t>Modem &amp; Router Wireless, Repeater, Wireless Adapter &amp; Kartu Network, Powerline Adapter, Switch Internet &amp; PoE, Kabel Network &amp; Konektor, KVM Switch, Print Server, Komponen Network Lainnya</t>
  </si>
  <si>
    <t>Software</t>
  </si>
  <si>
    <t>Komponen Desktop &amp; Laptop</t>
  </si>
  <si>
    <t>Sound Card</t>
  </si>
  <si>
    <t>PC Desktop, PC Mini, Server PC, All-in-One Desktop, Desktop Lainnya</t>
  </si>
  <si>
    <t>Fan &amp; Heatsink, Processor, Motherboard, VGA Card, Thermal Paste, Power Supply, Memory RAM, UPS &amp; Stabilizer, Casing Komputer, Optical Drive, Komponen Desktop &amp; Laptop Lainnya</t>
  </si>
  <si>
    <t>Laptop</t>
  </si>
  <si>
    <t>Monitor</t>
  </si>
  <si>
    <t>Penyimpanan Data</t>
  </si>
  <si>
    <t>SSD, Hard Disk, Network Attached Storage (NAS), Flashdisk &amp; Flashdisk OTG, Casing Hard Disk &amp; Docking, Compact Disc (CD), Penyimpanan Data Lainnya</t>
  </si>
  <si>
    <t>Peralatan Kantor</t>
  </si>
  <si>
    <t>Mesin Ketik, Mesin Absensi, Penghancur Kertas, Penghitung Uang, Peralatan Kantor Lainnya</t>
  </si>
  <si>
    <t>Printer &amp; Scanner</t>
  </si>
  <si>
    <t>Printer, Scanner &amp; Mesin Fotokopi, Printer Thermal &amp; Barcode, Tinta Printer, 3D Printer, Printer &amp; Scanner Lainnya</t>
  </si>
  <si>
    <t>Komputer &amp; Aksesoris Lainnya</t>
  </si>
  <si>
    <t>Kategori Lifestyle</t>
  </si>
  <si>
    <t>Buku &amp; Alat Tulis</t>
  </si>
  <si>
    <t>Perlengkapan Menggambar</t>
  </si>
  <si>
    <t>Pensil Warna, Krayon &amp; Pastel, Cat Air &amp; Cat Poster, Cat Minyak, Cat Akrilik, Kuas Lukis, Palet Lukis, Kanvas Lukis &amp; Easel, Buku Gambar &amp; Sketsa, Perlengkapan Menggambar Lainnya</t>
  </si>
  <si>
    <t>Pembungkus Kado &amp; Kemasan</t>
  </si>
  <si>
    <t>Bubble Wrap</t>
  </si>
  <si>
    <t>Perlengkapan Sekolah &amp; Kantor</t>
  </si>
  <si>
    <t>Kalkulator, Pisau Ukir &amp; Cutter, Tali &amp; Selotip, Lem, Printer Label, Lanyard &amp; Name Tag, Klip Kertas, Push Pin, &amp; Paku Payung, Pembolong Kertas, Gunting, Stempel &amp; Bak Stempel, Stapler &amp; Staples, Kalender, Folder, Organizer Kertas, &amp; Aksesoris</t>
  </si>
  <si>
    <t>Alat Tulis</t>
  </si>
  <si>
    <t>Pulpen &amp; Tinta, Pensil, Penghapus &amp; Tipe X, Spidol, Highlighter, Alat Tulis Lainnya</t>
  </si>
  <si>
    <t>Buku Tulis &amp; Kertas</t>
  </si>
  <si>
    <t>Pembatas Buku, Sampul Buku, Kertas Termal &amp; Continuous Paper, Kertas Print &amp; Fotocopy, Kertas Binder, Memo &amp; Sticky Notes, Art Paper &amp; Art Board, Notebook &amp; Notepad, Label &amp; Stiker, Buku Tulis &amp; Kertas Lainnya</t>
  </si>
  <si>
    <t>Kertas Kado, Kotak Kado, Tas Kado, Pita Kado, Kardus, Bungkus Kado Lainnya</t>
  </si>
  <si>
    <t>Papan Tulis &amp; Papan Jalan, Penggaris, Busur Derajat, &amp; Stensil, Rautan, Tempat Pensil, Perlengkapan Sekolah &amp; Kantor Lainnya</t>
  </si>
  <si>
    <t>Surat-Menyurat</t>
  </si>
  <si>
    <t>Amplop &amp; Angpau, Kartu Pos, Materai &amp; Perangko, Surat-Menyurat Lainnya</t>
  </si>
  <si>
    <t>Buku &amp; Alat Tulis Lainnya</t>
  </si>
  <si>
    <t>Buku &amp; Majalah</t>
  </si>
  <si>
    <t>Majalah &amp; Koran</t>
  </si>
  <si>
    <t>Bisnis, Gaya Hidup, Remaja, Majalah &amp; Koran Lainnya</t>
  </si>
  <si>
    <t>Buku Bacaan</t>
  </si>
  <si>
    <t>Komik, Buku Audio, Buku Bacaan Lainnya</t>
  </si>
  <si>
    <t>Buku Anak-Anak, Stiker &amp; Buku Mewarnai, Pertanian, Kehutanan, &amp; Perikanan, Kamus, Sains &amp; Matematika, Kedokteran, Pendidikan, Seni, Desain, &amp; Fotografi, Hobi, Musik, Buku Resep &amp; Masak, Kesehatan, Kebugaran, &amp; Diet, Wisata &amp; Turisme, Parenting &amp; Keluarga, Politik, Hukum, &amp; Ilmu Sosial, Biografi &amp; Memoar, Sejarah &amp; Budaya, Agama &amp; Filsafat, Psikologi &amp; Hubungan, Pengembangan Diri &amp; Karir, Bisnis &amp; Investasi, Komputer &amp; Teknologi, Literatur Klasik, Fantasi, Action, Crime, &amp; Thrillers, Romansa</t>
  </si>
  <si>
    <t>E-Book</t>
  </si>
  <si>
    <t>Buku Bayi</t>
  </si>
  <si>
    <t>Buku &amp; Majalah Lainnya</t>
  </si>
  <si>
    <t>Hewan Peliharaan</t>
  </si>
  <si>
    <t>Aksesoris Hewan Peliharaan</t>
  </si>
  <si>
    <t>Mangkuk &amp; Feeder, Perlengkapan Travelling, Kalung, Tali, Harness &amp; Brangus, Stick &amp; Chaser, Chew, Tulang &amp; Bola, Frisbee, Mainan Anjing &amp; Kucing Lainnya, Mainan Hewan Peliharaan Kecil, Mainan Burung, Mainan Lainnya, Tempat Tidur &amp; Matras, Rumah, Habitat &amp; Aksesoris, Kandang &amp; Crate, Scratching Pad &amp; Post, Kebutuhan Akuarium, Furniture Hewan Lainnya, Aksesoris Hewan Peliharaan Lainnya</t>
  </si>
  <si>
    <t>Grooming Hewan</t>
  </si>
  <si>
    <t>Perawatan Rambut, Perawatan Mulut, Perawatan Kuku, Grooming Hewan Lainnya</t>
  </si>
  <si>
    <t>Litter &amp; Toilet</t>
  </si>
  <si>
    <t>Litter Box Kucing, Tempat Tidur &amp; Litter Hewan Peliharaan Kecil, Popok, Training Pad &amp; Tray Anjing, Plastik &amp; Sekop Kotoran, Litter &amp; Toilet Lainnya</t>
  </si>
  <si>
    <t>Makanan Hewan</t>
  </si>
  <si>
    <t>Makanan Anjing, Cemilan Anjing, Makanan Kucing, Snack Kucing, Makanan Hewan Peliharaan Kecil, Snack Hewan Peliharaan Kecil, Makanan Hewan Air, Pakan Burung, Makanan Reptil, Makanan Hewan Lainnya</t>
  </si>
  <si>
    <t>Pakaian &amp; Aksesoris Hewan</t>
  </si>
  <si>
    <t>Pakaian Hewan, Perlengkapan Hujan, Sepatu Boot, Kaos Kaki &amp; Pelindung Kaki Hewan, Aksesoris Leher, Kacamata, Aksesoris Rambut, Topi, Pakaian &amp; Aksesoris Hewan Lainnya</t>
  </si>
  <si>
    <t>Perawatan Kesehatan Hewan</t>
  </si>
  <si>
    <t>Anti Kutu, Obat, Perawatan Kesehatan Hewan Lainnya, Vitamin &amp; Suplemen</t>
  </si>
  <si>
    <t>Hewan Peliharaan Lainnya</t>
  </si>
  <si>
    <t>Hobi &amp; Koleksi</t>
  </si>
  <si>
    <t>Alat &amp; Aksesoris Musik</t>
  </si>
  <si>
    <t>Keyboard &amp; Piano, Alat Musik Perkusi, Alat Musik Tiup, Ukulele, Gitar &amp; Gitar Bass, Aksesoris Musik, Alat &amp; Aksesoris Musik Lainnnya, Alat Musik Petik Lainnya</t>
  </si>
  <si>
    <t>Album Foto</t>
  </si>
  <si>
    <t>CD, DVD &amp; Bluray</t>
  </si>
  <si>
    <t>Koleksi</t>
  </si>
  <si>
    <t>Action Figure, Patung, Mecha Model &amp; Diecast, Vehicle Model &amp; Diecast, Batu Akik &amp; Alam, Koleksi Penggemar, Koleksi Olahraga, Koleksi Anime &amp; Manga, Koin &amp; Uang Kertas, Koleksi Lainnya</t>
  </si>
  <si>
    <t>Mainan &amp; Games</t>
  </si>
  <si>
    <t>Dadu, Board Game &amp; Mainan Kartu, Mainan Sulap, Mainan Prank, Kubus Rubik, Gangsing, Kendama, Yo-yo, Mainan &amp; Aksesoris Remote Control, Mainan Kapsul, Mainan &amp; Games Lainnya</t>
  </si>
  <si>
    <t>Perlengkapan Menjahit</t>
  </si>
  <si>
    <t>Piringan Hitam</t>
  </si>
  <si>
    <t>Souvenir &amp; Hadiah</t>
  </si>
  <si>
    <t>Kipas Tangan, Gantungan Kunci, Celengan, Magnet Kulkas, Souvenir Lainnya</t>
  </si>
  <si>
    <t>Hobi &amp; Koleksi Lainnya</t>
  </si>
  <si>
    <t>Mobil</t>
  </si>
  <si>
    <t>Suku Cadang Mobil</t>
  </si>
  <si>
    <t>Bodi, Rangka, &amp; Bemper Mobil, Wiper &amp; Penyemprot Wiper Mobil, Knalpot Mobil, Roda, Velg, &amp; Aksesoris, Ban Mobil &amp; Aksesoris, Shock, Strutbar, &amp; Suspensi Mobil, Radiator &amp; Sistem Pendingin Mobil, Rantai, Transmisi, &amp; Kopling, Bearing Roda &amp; Seal Mobil, Piston Mobil, Filter Udara, Filter Oli, Sistem Pengereman Mobil, Fan Belt, Selang, &amp; Pulley Mobil, Kumparan Pengapian, Busi, Aki &amp; Aksesoris, Lampu Mobil, Sistem Bahan Bakar, Suku Cadang Mobil Lainnya, Suku Cadang Mesin Lainnya, Kelistrikan Lainnya, Pengapian Lainnya</t>
  </si>
  <si>
    <t>Oli &amp; Pelumas Kendaraan</t>
  </si>
  <si>
    <t>Oli, Aditif &amp; Penghemat Bahan Bakar, Gemuk &amp; Pelumas, Coolant, Pelumas Rem, Pelumas Transmisi, Perawatan Kendaraan Lainnya, Cairan Otomotif Lainnya</t>
  </si>
  <si>
    <t>Aksesoris Eksterior Mobil</t>
  </si>
  <si>
    <t>Hiasan Mobil, Antena Mobil, Sarung Mobil, Stiker, Logo, &amp; Emblem Mobil, Karpet Lumpur, Sill Plate Mobil, Talang Air, Klakson &amp; Aksesoris, Spion &amp; Aksesoris, Aksesoris Plat Nomor Mobil, Aksesoris Eksterior Mobil Lainnya</t>
  </si>
  <si>
    <t>Aksesoris Interior Mobil</t>
  </si>
  <si>
    <t>Navigasi &amp; AV Receiver, Amplifier, Speaker, &amp; Subwoofer, Organizer &amp; Kompartemen Mobil, Parfum Mobil, Karpet Mobil, Penyangga Leher &amp; Punggung, Matras Mobil, Setir &amp; Sarung Setir Mobil, Jok &amp; Sarung Jok Mobil, Holder Handphone, Pengisi Daya USB &amp; Bluetooth Transmitter, Pedal &amp; Stik Persneling, Sunshield &amp; Pelindung Dashboard, Kunci Stir, Kamera Parkir, HUD, Speedometer, &amp; Gauge, Aksesoris Interior Mobil Lainnya</t>
  </si>
  <si>
    <t>Gantungan &amp; Sarung Kunci Kendaraan</t>
  </si>
  <si>
    <t>Perawatan Kendaraan</t>
  </si>
  <si>
    <t>Sabun Cuci &amp; Wax, Pembersih Kaca &amp; Anti-Air, Perawatan Interior, Perawatan Ban &amp; Velg, Poles, Coating, &amp; Sealant Mobil, Perawatan Kendaraan Lainnya</t>
  </si>
  <si>
    <t>Perkakas &amp; Perlengkapan Kendaraan</t>
  </si>
  <si>
    <t>Peralatan Uji, Diagnosa, &amp; Servis, Pengukur Tekanan Udara Ban, Perkakas &amp; Perlengkapan Kendaraan Lainnya</t>
  </si>
  <si>
    <t>2,50%</t>
  </si>
  <si>
    <t>Mobil Lainnya</t>
  </si>
  <si>
    <t>Olahraga &amp; Outdoor</t>
  </si>
  <si>
    <t>Aksesoris Olahraga &amp; Aktivitas Outdoor</t>
  </si>
  <si>
    <t>Payung, Pelindung Mulut &amp; Sport Tape, Stopwatch &amp; Pedometer, Tas Sepatu, Gelang Olahraga, Ikat Kepala Olahraga, Topi Olahraga &amp; Aktivitas Outdoor, Tas Anti Air, Alat Training, Alat Pelindung Gym, Aksesoris Olahraga &amp; Aktivitas Outdoor Lainnya</t>
  </si>
  <si>
    <t>Sepeda, Komponen &amp; Aksesoris Sepeda, Helm Sepeda, Bersepeda Lainnya, Alat Masak Camping, Lampu &amp; Senter Camping, Aksesoris Tenda, Sleeping Bag, Teropong, Monokuler, &amp; Teleskop, Kompas, Pisau Camping &amp; Peralatan Survival, Tempat Tidur Gantung, Tongkat Hiking, Matras &amp; Keranjang Piknik, Camping &amp; Hiking Lainnya, Panjat Tebing, Busur Panah, Anak Panah, Panahan Lainnya, Bola Kaki, Sarung Tangan &amp; Deker, Tiang Gawang &amp; Net, Sepak Bola, Futsal, &amp; Sepak Takraw Lainnya, Bola Basket, Ring Basket, Basket Lainnya, Bola Voli, Net Voli, Voli Lainnya, Raket Bulu Tangkis, Kok Bulu Tangkis, Net Bulu Tangkis, Bulu Tangkis Lainnya, Raket Tenis, Bola Tenis, Net Tenis, Tenis Lainnya, Bola Tenis Meja, Bet Tenis Meja, Net Tenis Meja, Tenis Meja Lainnya, Samsak &amp; Bantalan Tinju, Sabuk Bela Diri, Sarung Tangan, Hand Wrap, &amp; Helm, Tinju &amp; Bela Diri Lainnya, Bola Golf, Stik Golf, Alat Pelindung &amp; Training, Tas Golf, Golf Lainnya, Baseball &amp; Softball, Squash, Rugbi, Billiard, Selancar &amp; Wakeboard, Ice Skating &amp; Olahraga Musim Dingin, Topi Renang, Kacamata Renang, Papan Pelampung, Senter Diving, Masker Diving, Kaki Katak, Jaket Pelampung, Diving &amp; Renang Lainnya, Boating, Matras Yoga, Balok, Ring, &amp; Foam Roller Yoga, Resistance Band, Yoga &amp; Pilates Lainnya, Latihan Beban, Tali Skipping, Bola Gym, Alat Fitness, Ab Roller, Pull Up &amp; Push Up Bar, Fitness Lainnya, Dart, Alat Rekreasi Olahraga &amp; Aktivitas Outdoor Lainnya, Kail Pancing, Joran &amp; Gulungan Pancing, Alat Pelacak Ikan, Senar Pancing, Umpan Pancing, Tas Pancing, Jaring Ikan, Alat Pancing Lainnya, Skateboard &amp; Sepatu Roda, Skuter &amp; Sepeda Roda Satu, Segway &amp; Hoverboard, Helm &amp; Alat Pelindung, Boardsport Lainnya, Piringan Pemutar Pinggang, Alat Olahraga Otot Tangan</t>
  </si>
  <si>
    <t>Jas Hujan</t>
  </si>
  <si>
    <t>Olahraga &amp; Outdoor Lainnya</t>
  </si>
  <si>
    <t>Perlengkapan Rumah</t>
  </si>
  <si>
    <t>Alat Pengaman</t>
  </si>
  <si>
    <t>Brankas, Pemadam Api, Perangkat Pintu &amp; Gembok, Alat Pengaman Lainnya</t>
  </si>
  <si>
    <t>Alat Pertukangan &amp; Renovasi Rumah</t>
  </si>
  <si>
    <t>Perekat &amp; Tape, Sarung Tangan, Kacamata, &amp; Masker Pelindung, Bak Cuci Piring &amp; Kran Air, Atap &amp; Lantai, Cat &amp; Pelapis Dinding, Pompa Air &amp; Aksesoris, Pompa Udara &amp; Aksesoris, Tangga, Troli, Tenda &amp; Terpal, Material Konstruksi, Pintu &amp; Jendela, Alat Pemeliharaan Rumah Lainnya, Tool Box, Kunci Set, Palu, Tang, Paku, Sekrup, &amp; Fastener, Amplas, Mesin Amplas, &amp; Aksesoris, Meteran, Meteran Jalan, Bor, Obeng &amp; Aksesoris, Gergaji, Mesin Pemotong, &amp; Gerinda, Pressure Washer, Power Generator, Electrical Tester &amp; Multimeter, Pengukur Jarak, Kompresor Udara, Perlengkapan Las, Blower, Perkakas Lainnya</t>
  </si>
  <si>
    <t>Dekorasi</t>
  </si>
  <si>
    <t>Tirai &amp; Tirai Gulung, Bingkai Foto &amp; Pajangan Dinding, Wallpaper &amp; Stiker Dinding, Jam Dinding, Keset, Karpet &amp; Tikar, Vas &amp; Bejana, Lilin &amp; Tempat Lilin, Cermin, Taplak Meja, Dekorasi Lainnya, Furniture &amp; Pelindung Furniture</t>
  </si>
  <si>
    <t>Furniture</t>
  </si>
  <si>
    <t>Bantal Sofa, Penahan Pintu, Rangka &amp; Sandaran Tempat Tidur, Lemari Pakaian, Sofa, Lemari &amp; Kabinet, Rak &amp; Rak Gantung, Meja &amp; Meja Tulis, Furniture Lainnya</t>
  </si>
  <si>
    <t>Kamar Mandi</t>
  </si>
  <si>
    <t>Kloset &amp; Alas Dudukan Kloset, Tempat Sikat Gigi &amp; Dispenser Odol, Dispenser, Tempat, &amp; Kotak Sabun, Rak &amp; Kabinet Kamar Mandi, Bak Mandi &amp; Bathtub, Handuk Mandi, Handuk Wajah &amp; Lap Tangan, Handuk Kimono, Handuk Mandi &amp; Kimono Lainnya, Kepala Shower &amp; Spray Bidet, Sikat &amp; Spons Badan, Tirai Shower, Tempat Duduk Mandi &amp; Pispot, Pegangan Kamar Mandi, Shower Cap, Kamar Mandi Lainnya</t>
  </si>
  <si>
    <t>Kamar Tidur</t>
  </si>
  <si>
    <t>Matras Pendingin, Pelindung Matras, Selimut, Bantal, Sprei, Sarung Bantal, &amp; Sarung Guling, Matras, Kelambu, Guling, Kamar Tidur Lainnya</t>
  </si>
  <si>
    <t>Organizer Rumah</t>
  </si>
  <si>
    <t>Gantungan, Box, Tas, &amp; Keranjang Penyimpanan, Box Penyimpanan Sepatu, Pengait, Tas &amp; Keranjang Laundry, Organizer Meja, Organizer Lemari Pakaian, Organizer Perhiasan, Tempat Tisu, Organizer Rumah Lainnya</t>
  </si>
  <si>
    <t>Penghangat Tangan &amp; Kantong Kompres</t>
  </si>
  <si>
    <t>Pengharum Ruangan &amp; Aromaterapi</t>
  </si>
  <si>
    <t>Diffuser, Humidifier, &amp; Oil Burner, Pengharum Ruangan &amp; Aromaterapi Lainnya</t>
  </si>
  <si>
    <t>Peralatan Makan</t>
  </si>
  <si>
    <t>Jug, Pitcher, &amp; Aksesoris, Kantong &amp; Set Teh, Cangkir, Mug, &amp; Gelas, Botol Minum &amp; Aksesoris, Mangkuk, Piring, Alat Makan, Sedotan, Tudung Saji &amp; Penutup Makanan, Tatakan Piring &amp; Gelas, Peralatan Makan Lainnya</t>
  </si>
  <si>
    <t>Tali Jemuran &amp; Rak Pengering, Sikat Pembersih, Sapu, Kemoceng, Kain Pel, Basin, Ember, &amp; Gayung Air, Spons &amp; Scouring Pad, Tempat Sampah, Kantong Plastik &amp; Kantong Sampah, Lap</t>
  </si>
  <si>
    <t>Perlengkapan Dapur</t>
  </si>
  <si>
    <t>Tempat Penyimpanan Makanan, Cling Wrap, Aluminium Foil, Peralatan Teh, Kopi, &amp; Bartending, Rak Dapur, Celemek &amp; Pelindung Tangan, Pembuka Tutup Kaleng &amp; Botol, Korek Api &amp; Pemantik, Timbangan Dapur, Perlengkapan Dapur Lainnya, Alat &amp; Aksesoris Pemanggang, Alat &amp; Dekorasi Baking, Penggorengan, Panci, Spatula &amp; Capitan, Talenan, Pengocok Telur, Gelas &amp; Sendok Takar, Saringan, Parutan &amp; Peeler, Pisau &amp; Gunting Dapur</t>
  </si>
  <si>
    <t>Perlengkapan Keagamaan</t>
  </si>
  <si>
    <t>Taman</t>
  </si>
  <si>
    <t>Tanaman, Dekorasi Taman, Tanah &amp; Media Tanam, Pupuk, Bibit &amp; Umbi, Pot &amp; Planter, Sistem Pengairan, Peralatan Berkebun, Taman Lainnya, Mesin Pemotong Rumput</t>
  </si>
  <si>
    <t>Lampu</t>
  </si>
  <si>
    <t>Bunga</t>
  </si>
  <si>
    <t>Kursi &amp; Bangku</t>
  </si>
  <si>
    <t>Minyak Esensial, Pengharum Ruangan</t>
  </si>
  <si>
    <t>Perawatan Rumah</t>
  </si>
  <si>
    <t>Pembasmi Hama &amp; Gulma, Tisu &amp; Tisu Kertas, Tisu Toilet, Pembersih, Pengharum Pakaian, Conditioner &amp; Pelembut Pakaian, Detergen, Perawatan Rumah Lainnya, Perawatan Pakaian Lainnya</t>
  </si>
  <si>
    <t>Perlengkapan Pesta</t>
  </si>
  <si>
    <t>Balon, Wooden Clip, Backdrop &amp; Spanduk, Kartu Ucapan, Peralatan Makan Sekali Pakai, Topi &amp; Topeng Pesta, Selempang/Sash, Perlengkapan Pesta Lainnya</t>
  </si>
  <si>
    <t>Sealer</t>
  </si>
  <si>
    <t>Perlengkapan Rumah Lainnya</t>
  </si>
  <si>
    <t>Sepeda Motor</t>
  </si>
  <si>
    <t>Aksesoris Sepeda Motor</t>
  </si>
  <si>
    <t>Karpet Motor, Speedometer, Odometer, &amp; Gauge Motor, Sarung Motor, Stiker, Logo, &amp; Emblem, Jok &amp; Sarung Jok Motor, Spion Motor &amp; Aksesoris, Kunci &amp; Keamanan, Box Motor, Dudukan Handphone, Karpet Lumpur, Aksesoris Sepeda Motor Lainnya</t>
  </si>
  <si>
    <t>Helm &amp; Aksesoris Pengendara Motor</t>
  </si>
  <si>
    <t>Suku Cadang Motor</t>
  </si>
  <si>
    <t>Radiator, Piston, CDI &amp; ECU, Busi, Kumparan Pengapian, V-Belt, Filter Udara, Sistem Bahan Bakar, Sistem Pengereman, Shock, Strut, &amp; Suspensi Motor, Rantai &amp; Gir, Kopling, Bearing, Aki &amp; Aksesoris, Klakson &amp; Aksesoris, Kabel &amp; Selang, Bodi &amp; Rangka Motor, Knalpot Motor, Roda, Velg, &amp; Aksesoris, Ban Motor &amp; Aksesoris, Lampu Motor, Suku Cadang Motor Lainnya, Pengapian &amp; Suku Cadang Mesin Lainnya, Rantai, Transmisi, &amp; Kopling Lainnya</t>
  </si>
  <si>
    <t>Sepeda Motor Lainnya</t>
  </si>
  <si>
    <t>Kategori Lainnya</t>
  </si>
  <si>
    <t>Tiket, Voucher, &amp; Layanan</t>
  </si>
  <si>
    <t>Belanja</t>
  </si>
  <si>
    <t>Ritel</t>
  </si>
  <si>
    <t>Layanan</t>
  </si>
  <si>
    <t>Listrik, Gas, &amp; Air</t>
  </si>
  <si>
    <t>Dine-in &amp; Takeaway</t>
  </si>
  <si>
    <t>Shopee</t>
  </si>
  <si>
    <t>Shopee Official, Saldo Iklan Shopee</t>
  </si>
  <si>
    <t>Streaming</t>
  </si>
  <si>
    <t>Telco</t>
  </si>
  <si>
    <t>Data, Pulsa</t>
  </si>
  <si>
    <t>Tiket Event</t>
  </si>
  <si>
    <t>Hiburan, Acara, Pameran, &amp; Konferensi, Konser &amp; Pertunjukan</t>
  </si>
  <si>
    <t>Travel &amp; Tour</t>
  </si>
  <si>
    <t>Voucher Hotel, Penerbangan, Paket Tour</t>
  </si>
  <si>
    <t>Gaming</t>
  </si>
  <si>
    <t>E-Money</t>
  </si>
  <si>
    <t>Biaya Produk Pre-Order</t>
  </si>
  <si>
    <t>Tidak Ikut</t>
  </si>
  <si>
    <t>Produk Pre-Order</t>
  </si>
  <si>
    <t>Biaya Promo Xtra</t>
  </si>
  <si>
    <t>Sebelum 11 Sept</t>
  </si>
  <si>
    <t>Setelah 11 Sept</t>
  </si>
  <si>
    <t>Program Opsional Gratis Ongkir Xtra Ukuran Biasa &amp; Khusus</t>
  </si>
  <si>
    <t>PROGRAM</t>
  </si>
  <si>
    <t>KATEGORI PRODUK</t>
  </si>
  <si>
    <t>PRODUK UKURAN BIASA</t>
  </si>
  <si>
    <t>Biaya Layanan Program Opsional Gratis Ongkir XTRA</t>
  </si>
  <si>
    <t>Ukuran Biasa - A</t>
  </si>
  <si>
    <t>Ukuran Biasa - B</t>
  </si>
  <si>
    <t>Ukuran Biasa - C</t>
  </si>
  <si>
    <t>Ukuran Biasa - D</t>
  </si>
  <si>
    <t>Ukuran Biasa - E</t>
  </si>
  <si>
    <t>Ukuran Biasa - F</t>
  </si>
  <si>
    <t>Ukuran Biasa - G</t>
  </si>
  <si>
    <t>Ukuran Biasa - H</t>
  </si>
  <si>
    <t>Rp40.000 per kuantitas produk</t>
  </si>
  <si>
    <t>PRODUK UKURAN KHUSUS</t>
  </si>
  <si>
    <t>Ukuran Khusus - A</t>
  </si>
  <si>
    <t>Ukuran Khusus - B</t>
  </si>
  <si>
    <t>Ukuran Khusus - C</t>
  </si>
  <si>
    <t>Ukuran Khusus - D</t>
  </si>
  <si>
    <t>Ukuran Khusus - E</t>
  </si>
  <si>
    <t>Ukuran Khusus - F</t>
  </si>
  <si>
    <t>Ukuran Khusus - G</t>
  </si>
  <si>
    <t>Ukuran Khusus - H</t>
  </si>
  <si>
    <t>Rp60.000 per kuantitas produk</t>
  </si>
  <si>
    <t>Cek Barang Masuk Kategori Apa Disini</t>
  </si>
  <si>
    <t>Cek Apa itu Ukuran Khsuus Disini</t>
  </si>
  <si>
    <t>WAJIB BACA PANDUAN CARA PAKAI AGAR FILE BISA DIGUNAKAN (CARA BUAT SALINAN/ MAKE A COPY)</t>
  </si>
  <si>
    <t>Saran/ Kendala Penggunaan: WA Admin (085156685865)</t>
  </si>
  <si>
    <t>*Hanya Ubah Kotak Berwarna Hijau</t>
  </si>
  <si>
    <t>Kalkulator Biaya Admin &amp; Layanan Shopee</t>
  </si>
  <si>
    <t>Harga Produk Penjual</t>
  </si>
  <si>
    <t>Atribut</t>
  </si>
  <si>
    <t xml:space="preserve">                 Rupiah</t>
  </si>
  <si>
    <t>Panduan Isi</t>
  </si>
  <si>
    <t>Harga Pokok Penjualan (HPP)</t>
  </si>
  <si>
    <t>Input Harga Modal Produk -&gt;</t>
  </si>
  <si>
    <t>(isi harga modal, jika ada biaya packing masukin juga)</t>
  </si>
  <si>
    <t>Target Harga Jual (Rp)</t>
  </si>
  <si>
    <t>Input Harga Jual Produk -&gt;</t>
  </si>
  <si>
    <t>(isi total dari HPP + target cuan)</t>
  </si>
  <si>
    <t>Diskon Penjual (Rp)</t>
  </si>
  <si>
    <t>Input Diskon Dibuat -&gt;</t>
  </si>
  <si>
    <t>(kosongkan jika tidak ada)</t>
  </si>
  <si>
    <t>Harga Produk Final</t>
  </si>
  <si>
    <t>Harga yang Dibayar Pembeli -&gt;</t>
  </si>
  <si>
    <t>(jangan ubah kolom ini)</t>
  </si>
  <si>
    <t>Biaya Administrasi &amp; Layanan</t>
  </si>
  <si>
    <t>Persentase</t>
  </si>
  <si>
    <t>Rupiah</t>
  </si>
  <si>
    <t>Biaya Administrasi per Kategori</t>
  </si>
  <si>
    <t>(pilih kategori)</t>
  </si>
  <si>
    <r>
      <rPr>
        <rFont val="Arial"/>
        <b/>
        <color theme="1"/>
      </rPr>
      <t xml:space="preserve">Gratis Ongkir Xtra (Kategori)
</t>
    </r>
    <r>
      <rPr>
        <rFont val="Arial"/>
        <color theme="1"/>
      </rPr>
      <t>Update per 5 Februari 2026</t>
    </r>
  </si>
  <si>
    <t>(Ukuran Biasa 40k maks. Ukuran Khusus 60k maks.)</t>
  </si>
  <si>
    <t>Promo Xtra</t>
  </si>
  <si>
    <t>(Promo Xtra 60k maks. Promo Xtra+ 80k maks.)</t>
  </si>
  <si>
    <t>Biaya Fix (20 Juli 2025)</t>
  </si>
  <si>
    <t>-</t>
  </si>
  <si>
    <t>(pilih ikut/ tidak ikut jika prorduk pre order)</t>
  </si>
  <si>
    <t>Total Biaya Administrasi &amp; Layanan</t>
  </si>
  <si>
    <r>
      <rPr>
        <rFont val="Arial"/>
        <b/>
        <color rgb="FFFFFFFF"/>
        <sz val="14.0"/>
      </rPr>
      <t xml:space="preserve">Dana Diterima Penjual 
</t>
    </r>
    <r>
      <rPr>
        <rFont val="Arial"/>
        <color rgb="FFFFFFFF"/>
        <sz val="14.0"/>
      </rPr>
      <t>Star/ Star+ &gt; 50 Pesanan</t>
    </r>
  </si>
  <si>
    <t>(ini adalah total untuk penjual non star dan star &gt;50 pesanan)</t>
  </si>
  <si>
    <t>Komisi Afiliasi</t>
  </si>
  <si>
    <t>Persentase Komisi Afiliasi</t>
  </si>
  <si>
    <t>Input Persentase Biaya Komisi -&gt;</t>
  </si>
  <si>
    <t>[biaya afiliasi= (harga produk- diskon penjual)* biaya afiliasi]</t>
  </si>
  <si>
    <r>
      <rPr>
        <rFont val="Arial"/>
        <b/>
        <color rgb="FFFFFFFF"/>
        <sz val="14.0"/>
      </rPr>
      <t xml:space="preserve">Dana Diterima Penjual 
</t>
    </r>
    <r>
      <rPr>
        <rFont val="Arial"/>
        <color rgb="FFFFFFFF"/>
        <sz val="14.0"/>
      </rPr>
      <t>(Setelah Afiliasi)</t>
    </r>
  </si>
  <si>
    <t>(ini adalah total dana diterima untuk penjual, setelah afiliasi)</t>
  </si>
  <si>
    <t>Margin Setelah Fee Admin</t>
  </si>
  <si>
    <t>Biaya Pajak Penghasilan &lt;=4,8M/ Tahun</t>
  </si>
  <si>
    <t>0.5% * Omzet Bruto</t>
  </si>
  <si>
    <t>(ini adalah biaya pajak untuk penjual star)</t>
  </si>
  <si>
    <t>Margin Star/ Star+ Seller &gt;50</t>
  </si>
  <si>
    <t>(ini adalah keuntungan kotor untuk penjual dan star &gt;50 pesanan)</t>
  </si>
  <si>
    <t>Rekomendasi Harga Jual</t>
  </si>
  <si>
    <t>(target harga jual + admin &amp; layanan + pajak)</t>
  </si>
  <si>
    <t>Atribut Produk Penjual (Kolom Isian)</t>
  </si>
  <si>
    <t>Kategori Barang (Kolom Isian)</t>
  </si>
  <si>
    <t>Biaya Administrasi &amp; Layanan (Otomatis)</t>
  </si>
  <si>
    <t>Rangkuman Biaya (Otomatis)</t>
  </si>
  <si>
    <t>Nama Produk</t>
  </si>
  <si>
    <t>Ambil Untung (Rp)</t>
  </si>
  <si>
    <t>Persentase Afiliasei</t>
  </si>
  <si>
    <t>Biaya Administrasi</t>
  </si>
  <si>
    <t>Gratis Ongkir Xtra</t>
  </si>
  <si>
    <t xml:space="preserve"> Besaran Affiliate </t>
  </si>
  <si>
    <t>Dana Diterima Penjual 
Setelah Admin</t>
  </si>
  <si>
    <t>Profit 
Setelah Admin</t>
  </si>
  <si>
    <t>Persen</t>
  </si>
  <si>
    <t>Nominal</t>
  </si>
  <si>
    <t>Design Sablon A</t>
  </si>
  <si>
    <t>Design Sablon B</t>
  </si>
  <si>
    <t>Kipas</t>
  </si>
  <si>
    <t>HP</t>
  </si>
  <si>
    <t>Sosis</t>
  </si>
  <si>
    <t>Rice Cooker</t>
  </si>
  <si>
    <t>Blender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</si>
</sst>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Rp]#,##0"/>
    <numFmt numFmtId="165" formatCode="[$Rp]#,##0.00"/>
    <numFmt numFmtId="166" formatCode="0.0%"/>
  </numFmts>
  <fonts count="52">
    <font>
      <sz val="10.0"/>
      <color rgb="FF000000"/>
      <name val="Arial"/>
      <scheme val="minor"/>
    </font>
    <font>
      <color theme="1"/>
      <name val="Arial"/>
      <scheme val="minor"/>
    </font>
    <font>
      <b/>
      <sz val="20.0"/>
      <color theme="1"/>
      <name val="Arial"/>
      <scheme val="minor"/>
    </font>
    <font>
      <b/>
      <sz val="13.0"/>
      <color rgb="FFFFFFFF"/>
      <name val="Arial"/>
      <scheme val="minor"/>
    </font>
    <font>
      <sz val="15.0"/>
      <color theme="1"/>
      <name val="Nunito"/>
    </font>
    <font>
      <color theme="1"/>
      <name val="Nunito"/>
    </font>
    <font>
      <sz val="13.0"/>
      <color rgb="FFFFFFFF"/>
      <name val="Arial"/>
      <scheme val="minor"/>
    </font>
    <font>
      <sz val="12.0"/>
      <color theme="1"/>
      <name val="Arial"/>
      <scheme val="minor"/>
    </font>
    <font>
      <sz val="12.0"/>
      <color theme="1"/>
      <name val="Nunito"/>
    </font>
    <font>
      <b/>
      <sz val="11.0"/>
      <color rgb="FFFFFFFF"/>
      <name val="Nunito"/>
    </font>
    <font>
      <b/>
      <color rgb="FFFFFFFF"/>
      <name val="Arial"/>
      <scheme val="minor"/>
    </font>
    <font/>
    <font>
      <b/>
      <sz val="11.0"/>
      <color rgb="FFFFFFFF"/>
      <name val="Calibri"/>
    </font>
    <font>
      <b/>
      <sz val="9.0"/>
      <color rgb="FFFFFFFF"/>
      <name val="Calibri"/>
    </font>
    <font>
      <b/>
      <sz val="11.0"/>
      <color rgb="FF000000"/>
      <name val="Calibri"/>
    </font>
    <font>
      <sz val="10.0"/>
      <color rgb="FF000000"/>
      <name val="Calibri"/>
    </font>
    <font>
      <b/>
      <sz val="11.0"/>
      <color rgb="FFFFFFFF"/>
      <name val="Arial"/>
      <scheme val="minor"/>
    </font>
    <font>
      <b/>
      <color theme="1"/>
      <name val="Arial"/>
      <scheme val="minor"/>
    </font>
    <font>
      <u/>
      <color rgb="FF0000FF"/>
    </font>
    <font>
      <u/>
      <color rgb="FF0000FF"/>
    </font>
    <font>
      <u/>
      <color rgb="FF0000FF"/>
    </font>
    <font>
      <sz val="10.0"/>
      <color theme="1"/>
      <name val="Arial"/>
      <scheme val="minor"/>
    </font>
    <font>
      <sz val="10.0"/>
      <color rgb="FFFFFFFF"/>
      <name val="Arial"/>
      <scheme val="minor"/>
    </font>
    <font>
      <sz val="11.0"/>
      <color rgb="FF000000"/>
      <name val="Arial"/>
      <scheme val="minor"/>
    </font>
    <font>
      <color rgb="FF000000"/>
      <name val="Arial"/>
      <scheme val="minor"/>
    </font>
    <font>
      <b/>
      <sz val="15.0"/>
      <color rgb="FF000000"/>
      <name val="Arial"/>
      <scheme val="minor"/>
    </font>
    <font>
      <sz val="12.0"/>
      <color rgb="FF000000"/>
      <name val="Roboto"/>
    </font>
    <font>
      <sz val="11.0"/>
      <color rgb="FF000000"/>
      <name val="Roboto"/>
    </font>
    <font>
      <u/>
      <sz val="11.0"/>
      <color rgb="FF4A86E8"/>
    </font>
    <font>
      <u/>
      <sz val="11.0"/>
      <color rgb="FF4A86E8"/>
    </font>
    <font>
      <b/>
      <sz val="14.0"/>
      <color theme="1"/>
      <name val="Arial"/>
      <scheme val="minor"/>
    </font>
    <font>
      <i/>
      <color theme="1"/>
      <name val="Arial"/>
      <scheme val="minor"/>
    </font>
    <font>
      <color rgb="FFFFFFFF"/>
      <name val="Arial"/>
      <scheme val="minor"/>
    </font>
    <font>
      <b/>
      <sz val="10.0"/>
      <color rgb="FFFFFFFF"/>
      <name val="Arial"/>
      <scheme val="minor"/>
    </font>
    <font>
      <sz val="14.0"/>
      <color rgb="FFFFFFFF"/>
      <name val="Arial"/>
      <scheme val="minor"/>
    </font>
    <font>
      <b/>
      <sz val="14.0"/>
      <color rgb="FFFFFFFF"/>
      <name val="Arial"/>
      <scheme val="minor"/>
    </font>
    <font>
      <b/>
      <i/>
      <color theme="1"/>
      <name val="Arial"/>
      <scheme val="minor"/>
    </font>
    <font>
      <b/>
      <sz val="13.0"/>
      <color rgb="FFFFFFFF"/>
      <name val="Arial"/>
    </font>
    <font>
      <b/>
      <color rgb="FFFFFFFF"/>
      <name val="Arial"/>
    </font>
    <font>
      <b/>
      <color theme="1"/>
      <name val="Arial"/>
    </font>
    <font>
      <color theme="1"/>
      <name val="Arial"/>
    </font>
    <font>
      <i/>
      <color theme="1"/>
      <name val="Arial"/>
    </font>
    <font>
      <sz val="14.0"/>
      <color rgb="FFFFFFFF"/>
      <name val="Arial"/>
    </font>
    <font>
      <b/>
      <sz val="14.0"/>
      <color rgb="FFFFFFFF"/>
      <name val="Arial"/>
    </font>
    <font>
      <b/>
      <i/>
      <color theme="1"/>
      <name val="Arial"/>
    </font>
    <font>
      <sz val="14.0"/>
      <color theme="1"/>
      <name val="Arial"/>
      <scheme val="minor"/>
    </font>
    <font>
      <b/>
      <sz val="22.0"/>
      <color rgb="FFFFFFFF"/>
      <name val="Arial"/>
    </font>
    <font>
      <i/>
      <sz val="9.0"/>
      <color theme="1"/>
      <name val="Arial"/>
    </font>
    <font>
      <b/>
      <sz val="10.0"/>
      <color rgb="FFFFFFFF"/>
      <name val="Arial"/>
    </font>
    <font>
      <b/>
      <sz val="10.0"/>
      <color theme="1"/>
      <name val="Arial"/>
      <scheme val="minor"/>
    </font>
    <font>
      <sz val="9.0"/>
      <color theme="1"/>
      <name val="Arial"/>
      <scheme val="minor"/>
    </font>
    <font>
      <i/>
      <sz val="9.0"/>
      <color theme="1"/>
      <name val="Arial"/>
      <scheme val="minor"/>
    </font>
  </fonts>
  <fills count="18">
    <fill>
      <patternFill patternType="none"/>
    </fill>
    <fill>
      <patternFill patternType="lightGray"/>
    </fill>
    <fill>
      <patternFill patternType="solid">
        <fgColor rgb="FFD9D9D9"/>
        <bgColor rgb="FFD9D9D9"/>
      </patternFill>
    </fill>
    <fill>
      <patternFill patternType="solid">
        <fgColor rgb="FFFFFFFF"/>
        <bgColor rgb="FFFFFFFF"/>
      </patternFill>
    </fill>
    <fill>
      <patternFill patternType="solid">
        <fgColor rgb="FF113367"/>
        <bgColor rgb="FF113367"/>
      </patternFill>
    </fill>
    <fill>
      <patternFill patternType="solid">
        <fgColor rgb="FFEE4D2D"/>
        <bgColor rgb="FFEE4D2D"/>
      </patternFill>
    </fill>
    <fill>
      <patternFill patternType="solid">
        <fgColor rgb="FFEFEFEF"/>
        <bgColor rgb="FFEFEFEF"/>
      </patternFill>
    </fill>
    <fill>
      <patternFill patternType="solid">
        <fgColor rgb="FFF3F3F3"/>
        <bgColor rgb="FFF3F3F3"/>
      </patternFill>
    </fill>
    <fill>
      <patternFill patternType="solid">
        <fgColor rgb="FFCCCCCC"/>
        <bgColor rgb="FFCCCCCC"/>
      </patternFill>
    </fill>
    <fill>
      <patternFill patternType="solid">
        <fgColor rgb="FFFFFF00"/>
        <bgColor rgb="FFFFFF00"/>
      </patternFill>
    </fill>
    <fill>
      <patternFill patternType="solid">
        <fgColor rgb="FFFFF6E4"/>
        <bgColor rgb="FFFFF6E4"/>
      </patternFill>
    </fill>
    <fill>
      <patternFill patternType="solid">
        <fgColor rgb="FFF4CCCC"/>
        <bgColor rgb="FFF4CCCC"/>
      </patternFill>
    </fill>
    <fill>
      <patternFill patternType="solid">
        <fgColor rgb="FFD9EAD3"/>
        <bgColor rgb="FFD9EAD3"/>
      </patternFill>
    </fill>
    <fill>
      <patternFill patternType="solid">
        <fgColor rgb="FFFFBB00"/>
        <bgColor rgb="FFFFBB00"/>
      </patternFill>
    </fill>
    <fill>
      <patternFill patternType="solid">
        <fgColor rgb="FFFCE5CD"/>
        <bgColor rgb="FFFCE5CD"/>
      </patternFill>
    </fill>
    <fill>
      <patternFill patternType="solid">
        <fgColor rgb="FFFFF2CC"/>
        <bgColor rgb="FFFFF2CC"/>
      </patternFill>
    </fill>
    <fill>
      <patternFill patternType="solid">
        <fgColor rgb="FF6AA84F"/>
        <bgColor rgb="FF6AA84F"/>
      </patternFill>
    </fill>
    <fill>
      <patternFill patternType="solid">
        <fgColor rgb="FFC9DAF8"/>
        <bgColor rgb="FFC9DAF8"/>
      </patternFill>
    </fill>
  </fills>
  <borders count="58">
    <border/>
    <border>
      <right style="thin">
        <color rgb="FFE1E1E1"/>
      </right>
    </border>
    <border>
      <left style="thin">
        <color rgb="FFE1E1E1"/>
      </left>
      <right style="thin">
        <color rgb="FFE1E1E1"/>
      </right>
    </border>
    <border>
      <left style="thin">
        <color rgb="FFE1E1E1"/>
      </left>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right style="thin">
        <color rgb="FF113367"/>
      </right>
      <top style="thin">
        <color rgb="FF113367"/>
      </top>
      <bottom style="thin">
        <color rgb="FF113367"/>
      </bottom>
    </border>
    <border>
      <left style="thin">
        <color rgb="FF113367"/>
      </left>
      <right style="thin">
        <color rgb="FF113367"/>
      </right>
      <top style="thin">
        <color rgb="FF113367"/>
      </top>
      <bottom style="thin">
        <color rgb="FF113367"/>
      </bottom>
    </border>
    <border>
      <left style="thin">
        <color rgb="FF113367"/>
      </left>
      <top style="thin">
        <color rgb="FF113367"/>
      </top>
      <bottom style="thin">
        <color rgb="FF113367"/>
      </bottom>
    </border>
    <border>
      <left style="thin">
        <color rgb="FFFFFFFF"/>
      </left>
      <right style="thin">
        <color rgb="FFFFFFFF"/>
      </right>
      <bottom style="thin">
        <color rgb="FFFFFFFF"/>
      </bottom>
    </border>
    <border>
      <left style="thin">
        <color rgb="FFFFFFFF"/>
      </left>
      <right style="thin">
        <color rgb="FFFFFFFF"/>
      </right>
    </border>
    <border>
      <left style="thin">
        <color rgb="FFFFFFFF"/>
      </left>
      <bottom style="thin">
        <color rgb="FFFFFFFF"/>
      </bottom>
    </border>
    <border>
      <bottom style="thin">
        <color rgb="FFFFFFFF"/>
      </bottom>
    </border>
    <border>
      <right style="thin">
        <color rgb="FFFFFFFF"/>
      </right>
      <bottom style="thin">
        <color rgb="FFFFFFFF"/>
      </bottom>
    </border>
    <border>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top style="thin">
        <color rgb="FFFFFFFF"/>
      </top>
      <bottom style="thin">
        <color rgb="FFFFFFFF"/>
      </bottom>
    </border>
    <border>
      <top style="thin">
        <color rgb="FFFFFFFF"/>
      </top>
      <bottom style="thin">
        <color rgb="FFFFFFFF"/>
      </bottom>
    </border>
    <border>
      <bottom style="thin">
        <color rgb="FF113367"/>
      </bottom>
    </border>
    <border>
      <left style="thin">
        <color rgb="FFD9D9D9"/>
      </left>
      <right style="thin">
        <color rgb="FFFFFFFF"/>
      </right>
      <top style="thin">
        <color rgb="FFD9D9D9"/>
      </top>
      <bottom style="thin">
        <color rgb="FFD9D9D9"/>
      </bottom>
    </border>
    <border>
      <left style="thin">
        <color rgb="FFFFFFFF"/>
      </left>
      <right style="thin">
        <color rgb="FFFFFFFF"/>
      </right>
      <top style="thin">
        <color rgb="FFD9D9D9"/>
      </top>
      <bottom style="thin">
        <color rgb="FFD9D9D9"/>
      </bottom>
    </border>
    <border>
      <left style="thin">
        <color rgb="FFFFFFFF"/>
      </left>
      <right style="thin">
        <color rgb="FFD9D9D9"/>
      </right>
      <top style="thin">
        <color rgb="FFD9D9D9"/>
      </top>
      <bottom style="thin">
        <color rgb="FFD9D9D9"/>
      </bottom>
    </border>
    <border>
      <right style="thin">
        <color rgb="FFFFFFFF"/>
      </right>
    </border>
    <border>
      <left style="thin">
        <color rgb="FFFFFFFF"/>
      </lef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D9D9D9"/>
      </left>
      <top style="thin">
        <color rgb="FFD9D9D9"/>
      </top>
      <bottom style="thin">
        <color rgb="FFD9D9D9"/>
      </bottom>
    </border>
    <border>
      <left style="thin">
        <color rgb="FFD9EAD3"/>
      </left>
      <right style="thin">
        <color rgb="FFD9EAD3"/>
      </right>
      <top style="thin">
        <color rgb="FFD9EAD3"/>
      </top>
      <bottom style="thin">
        <color rgb="FFD9EAD3"/>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D9D9D9"/>
      </right>
      <bottom style="thin">
        <color rgb="FFD9D9D9"/>
      </bottom>
    </border>
    <border>
      <right style="thin">
        <color rgb="FF113367"/>
      </right>
      <bottom style="thin">
        <color rgb="FF113367"/>
      </bottom>
    </border>
    <border>
      <left style="thin">
        <color rgb="FF113367"/>
      </left>
      <right style="thin">
        <color rgb="FF113367"/>
      </right>
      <bottom style="thin">
        <color rgb="FF113367"/>
      </bottom>
    </border>
    <border>
      <left style="thin">
        <color rgb="FF113367"/>
      </left>
      <bottom style="thin">
        <color rgb="FF113367"/>
      </bottom>
    </border>
    <border>
      <right style="thin">
        <color rgb="FFD9EAD3"/>
      </right>
      <bottom style="thin">
        <color rgb="FFD9D9D9"/>
      </bottom>
    </border>
    <border>
      <left style="thin">
        <color rgb="FFD9EAD3"/>
      </left>
      <bottom style="thin">
        <color rgb="FFD9D9D9"/>
      </bottom>
    </border>
    <border>
      <left style="thin">
        <color rgb="FFE1E1E1"/>
      </left>
      <right style="thin">
        <color rgb="FFD9EAD3"/>
      </right>
      <bottom style="thin">
        <color rgb="FFE1E1E1"/>
      </bottom>
    </border>
    <border>
      <left style="thin">
        <color rgb="FFD9EAD3"/>
      </left>
      <right style="thin">
        <color rgb="FFE1E1E1"/>
      </right>
      <bottom style="thin">
        <color rgb="FFE1E1E1"/>
      </bottom>
    </border>
    <border>
      <left style="thin">
        <color rgb="FFE1E1E1"/>
      </left>
      <right style="thin">
        <color rgb="FFD9EAD3"/>
      </right>
      <top style="thin">
        <color rgb="FFE1E1E1"/>
      </top>
      <bottom style="thin">
        <color rgb="FFE1E1E1"/>
      </bottom>
    </border>
    <border>
      <left style="thin">
        <color rgb="FFD9EAD3"/>
      </left>
      <right style="thin">
        <color rgb="FFE1E1E1"/>
      </right>
      <top style="thin">
        <color rgb="FFE1E1E1"/>
      </top>
      <bottom style="thin">
        <color rgb="FFE1E1E1"/>
      </bottom>
    </border>
    <border>
      <right style="thin">
        <color rgb="FFEE4D2D"/>
      </right>
      <top style="thin">
        <color rgb="FFEE4D2D"/>
      </top>
    </border>
    <border>
      <left style="thin">
        <color rgb="FFEE4D2D"/>
      </left>
      <right style="thin">
        <color rgb="FFEE4D2D"/>
      </right>
      <top style="thin">
        <color rgb="FFEE4D2D"/>
      </top>
    </border>
    <border>
      <top style="thin">
        <color rgb="FFD9D9D9"/>
      </top>
      <bottom style="thin">
        <color rgb="FFD9D9D9"/>
      </bottom>
    </border>
    <border>
      <right style="thin">
        <color rgb="FFFFBB00"/>
      </right>
      <top style="thin">
        <color rgb="FFFFBB00"/>
      </top>
    </border>
    <border>
      <left style="thin">
        <color rgb="FFFFBB00"/>
      </left>
      <right style="thin">
        <color rgb="FFFFBB00"/>
      </right>
      <top style="thin">
        <color rgb="FFFFBB00"/>
      </top>
    </border>
    <border>
      <left style="thin">
        <color rgb="FFFFBB00"/>
      </left>
      <top style="thin">
        <color rgb="FFFFBB00"/>
      </top>
    </border>
    <border>
      <left style="thin">
        <color rgb="FFD9D9D9"/>
      </left>
      <right style="thin">
        <color rgb="FFD9D9D9"/>
      </right>
      <top style="thin">
        <color rgb="FFD9D9D9"/>
      </top>
    </border>
    <border>
      <left style="thin">
        <color rgb="FFEE4D2D"/>
      </left>
      <right style="thin">
        <color rgb="FFEE4D2D"/>
      </right>
      <top style="thin">
        <color rgb="FFEE4D2D"/>
      </top>
      <bottom style="thin">
        <color rgb="FFEE4D2D"/>
      </bottom>
    </border>
    <border>
      <left style="thin">
        <color rgb="FFD9D9D9"/>
      </left>
      <right style="thin">
        <color rgb="FFD9D9D9"/>
      </right>
    </border>
    <border>
      <top style="thin">
        <color rgb="FFD9D9D9"/>
      </top>
    </border>
    <border>
      <left style="thin">
        <color rgb="FFCED4E2"/>
      </left>
      <right style="thin">
        <color rgb="FFCED4E2"/>
      </right>
      <bottom style="thin">
        <color rgb="FFFFFFFF"/>
      </bottom>
    </border>
    <border>
      <right style="thin">
        <color rgb="FF113367"/>
      </right>
    </border>
    <border>
      <left style="thin">
        <color rgb="FFCED4E2"/>
      </left>
      <right style="thin">
        <color rgb="FFCED4E2"/>
      </right>
      <top style="thin">
        <color rgb="FFFFFFFF"/>
      </top>
      <bottom style="thin">
        <color rgb="FFFFFFFF"/>
      </bottom>
    </border>
    <border>
      <left style="thin">
        <color rgb="FFCED4E2"/>
      </left>
      <right style="thin">
        <color rgb="FFCED4E2"/>
      </right>
      <top style="thin">
        <color rgb="FFFFFFFF"/>
      </top>
      <bottom style="thin">
        <color rgb="FFCED4E2"/>
      </bottom>
    </border>
  </borders>
  <cellStyleXfs count="1">
    <xf borderId="0" fillId="0" fontId="0" numFmtId="0" applyAlignment="1" applyFont="1"/>
  </cellStyleXfs>
  <cellXfs count="296">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2" fontId="1" numFmtId="0" xfId="0" applyAlignment="1" applyBorder="1" applyFont="1">
      <alignment readingOrder="0"/>
    </xf>
    <xf borderId="2" fillId="2" fontId="1" numFmtId="0" xfId="0" applyBorder="1" applyFont="1"/>
    <xf borderId="2" fillId="2" fontId="1" numFmtId="164" xfId="0" applyBorder="1" applyFont="1" applyNumberFormat="1"/>
    <xf borderId="3" fillId="2" fontId="1" numFmtId="0" xfId="0" applyBorder="1" applyFont="1"/>
    <xf borderId="4" fillId="3" fontId="2" numFmtId="0" xfId="0" applyAlignment="1" applyBorder="1" applyFill="1" applyFont="1">
      <alignment readingOrder="0"/>
    </xf>
    <xf borderId="5" fillId="0" fontId="2" numFmtId="0" xfId="0" applyAlignment="1" applyBorder="1" applyFont="1">
      <alignment readingOrder="0"/>
    </xf>
    <xf borderId="5" fillId="0" fontId="1" numFmtId="0" xfId="0" applyBorder="1" applyFont="1"/>
    <xf borderId="4" fillId="3" fontId="1" numFmtId="0" xfId="0" applyBorder="1" applyFont="1"/>
    <xf borderId="4" fillId="3" fontId="3" numFmtId="165" xfId="0" applyAlignment="1" applyBorder="1" applyFont="1" applyNumberFormat="1">
      <alignment horizontal="center" readingOrder="0" vertical="center"/>
    </xf>
    <xf borderId="0" fillId="4" fontId="3" numFmtId="165" xfId="0" applyAlignment="1" applyFill="1" applyFont="1" applyNumberFormat="1">
      <alignment horizontal="center" readingOrder="0" vertical="center"/>
    </xf>
    <xf borderId="0" fillId="4" fontId="1" numFmtId="0" xfId="0" applyFont="1"/>
    <xf borderId="6" fillId="4" fontId="3" numFmtId="165" xfId="0" applyAlignment="1" applyBorder="1" applyFont="1" applyNumberFormat="1">
      <alignment horizontal="center" readingOrder="0" vertical="center"/>
    </xf>
    <xf borderId="7" fillId="4" fontId="1" numFmtId="0" xfId="0" applyBorder="1" applyFont="1"/>
    <xf borderId="8" fillId="4" fontId="1" numFmtId="0" xfId="0" applyBorder="1" applyFont="1"/>
    <xf borderId="4" fillId="3" fontId="4" numFmtId="0" xfId="0" applyAlignment="1" applyBorder="1" applyFont="1">
      <alignment readingOrder="0"/>
    </xf>
    <xf borderId="9" fillId="0" fontId="4" numFmtId="0" xfId="0" applyAlignment="1" applyBorder="1" applyFont="1">
      <alignment readingOrder="0"/>
    </xf>
    <xf borderId="9" fillId="0" fontId="5" numFmtId="0" xfId="0" applyBorder="1" applyFont="1"/>
    <xf borderId="9" fillId="0" fontId="1" numFmtId="0" xfId="0" applyBorder="1" applyFont="1"/>
    <xf borderId="4" fillId="0" fontId="4" numFmtId="0" xfId="0" applyAlignment="1" applyBorder="1" applyFont="1">
      <alignment readingOrder="0"/>
    </xf>
    <xf borderId="4" fillId="0" fontId="5" numFmtId="0" xfId="0" applyBorder="1" applyFont="1"/>
    <xf borderId="4" fillId="0" fontId="1" numFmtId="0" xfId="0" applyBorder="1" applyFont="1"/>
    <xf borderId="4" fillId="3" fontId="6" numFmtId="165" xfId="0" applyAlignment="1" applyBorder="1" applyFont="1" applyNumberFormat="1">
      <alignment horizontal="left" readingOrder="0" shrinkToFit="0" vertical="center" wrapText="0"/>
    </xf>
    <xf borderId="4" fillId="5" fontId="6" numFmtId="165" xfId="0" applyAlignment="1" applyBorder="1" applyFill="1" applyFont="1" applyNumberFormat="1">
      <alignment horizontal="left" readingOrder="0" shrinkToFit="0" vertical="center" wrapText="0"/>
    </xf>
    <xf borderId="4" fillId="5" fontId="1" numFmtId="0" xfId="0" applyBorder="1" applyFont="1"/>
    <xf borderId="4" fillId="3" fontId="7" numFmtId="0" xfId="0" applyAlignment="1" applyBorder="1" applyFont="1">
      <alignment readingOrder="0"/>
    </xf>
    <xf borderId="9" fillId="0" fontId="7" numFmtId="0" xfId="0" applyAlignment="1" applyBorder="1" applyFont="1">
      <alignment readingOrder="0"/>
    </xf>
    <xf borderId="4" fillId="3" fontId="8" numFmtId="0" xfId="0" applyAlignment="1" applyBorder="1" applyFont="1">
      <alignment readingOrder="0"/>
    </xf>
    <xf borderId="9" fillId="0" fontId="8" numFmtId="0" xfId="0" applyAlignment="1" applyBorder="1" applyFont="1">
      <alignment readingOrder="0"/>
    </xf>
    <xf borderId="4" fillId="3" fontId="5" numFmtId="0" xfId="0" applyAlignment="1" applyBorder="1" applyFont="1">
      <alignment readingOrder="0"/>
    </xf>
    <xf borderId="4" fillId="0" fontId="5" numFmtId="0" xfId="0" applyAlignment="1" applyBorder="1" applyFont="1">
      <alignment readingOrder="0"/>
    </xf>
    <xf borderId="6" fillId="4" fontId="3" numFmtId="165" xfId="0" applyAlignment="1" applyBorder="1" applyFont="1" applyNumberFormat="1">
      <alignment horizontal="left" readingOrder="0" shrinkToFit="0" vertical="center" wrapText="0"/>
    </xf>
    <xf borderId="4" fillId="3" fontId="1" numFmtId="0" xfId="0" applyAlignment="1" applyBorder="1" applyFont="1">
      <alignment readingOrder="0"/>
    </xf>
    <xf borderId="4" fillId="0" fontId="1" numFmtId="0" xfId="0" applyAlignment="1" applyBorder="1" applyFont="1">
      <alignment readingOrder="0"/>
    </xf>
    <xf borderId="4" fillId="3" fontId="9" numFmtId="0" xfId="0" applyAlignment="1" applyBorder="1" applyFont="1">
      <alignment horizontal="center" readingOrder="0" shrinkToFit="0" vertical="center" wrapText="0"/>
    </xf>
    <xf borderId="10" fillId="5" fontId="9" numFmtId="0" xfId="0" applyAlignment="1" applyBorder="1" applyFont="1">
      <alignment horizontal="center" readingOrder="0" shrinkToFit="0" vertical="center" wrapText="0"/>
    </xf>
    <xf borderId="11" fillId="4" fontId="10" numFmtId="0" xfId="0" applyAlignment="1" applyBorder="1" applyFont="1">
      <alignment horizontal="center" readingOrder="0"/>
    </xf>
    <xf borderId="12" fillId="0" fontId="11" numFmtId="0" xfId="0" applyBorder="1" applyFont="1"/>
    <xf borderId="13" fillId="3" fontId="10" numFmtId="0" xfId="0" applyAlignment="1" applyBorder="1" applyFont="1">
      <alignment horizontal="center" readingOrder="0"/>
    </xf>
    <xf borderId="9" fillId="3" fontId="10" numFmtId="0" xfId="0" applyAlignment="1" applyBorder="1" applyFont="1">
      <alignment horizontal="center" readingOrder="0"/>
    </xf>
    <xf borderId="14" fillId="3" fontId="1" numFmtId="0" xfId="0" applyBorder="1" applyFont="1"/>
    <xf borderId="10" fillId="0" fontId="11" numFmtId="0" xfId="0" applyBorder="1" applyFont="1"/>
    <xf borderId="15" fillId="5" fontId="12" numFmtId="0" xfId="0" applyAlignment="1" applyBorder="1" applyFont="1">
      <alignment horizontal="center" readingOrder="0" shrinkToFit="0" vertical="center" wrapText="0"/>
    </xf>
    <xf borderId="16" fillId="0" fontId="11" numFmtId="0" xfId="0" applyBorder="1" applyFont="1"/>
    <xf borderId="17" fillId="0" fontId="11" numFmtId="0" xfId="0" applyBorder="1" applyFont="1"/>
    <xf borderId="18" fillId="3" fontId="12" numFmtId="0" xfId="0" applyAlignment="1" applyBorder="1" applyFont="1">
      <alignment horizontal="center" readingOrder="0" shrinkToFit="0" vertical="top" wrapText="0"/>
    </xf>
    <xf borderId="19" fillId="0" fontId="11" numFmtId="0" xfId="0" applyBorder="1" applyFont="1"/>
    <xf borderId="14" fillId="0" fontId="11" numFmtId="0" xfId="0" applyBorder="1" applyFont="1"/>
    <xf borderId="9" fillId="0" fontId="11" numFmtId="0" xfId="0" applyBorder="1" applyFont="1"/>
    <xf borderId="11" fillId="0" fontId="11" numFmtId="0" xfId="0" applyBorder="1" applyFont="1"/>
    <xf borderId="13" fillId="0" fontId="11" numFmtId="0" xfId="0" applyBorder="1" applyFont="1"/>
    <xf borderId="4" fillId="3" fontId="13" numFmtId="0" xfId="0" applyAlignment="1" applyBorder="1" applyFont="1">
      <alignment horizontal="center" readingOrder="0" shrinkToFit="0" vertical="center" wrapText="1"/>
    </xf>
    <xf borderId="4" fillId="3" fontId="14" numFmtId="0" xfId="0" applyAlignment="1" applyBorder="1" applyFont="1">
      <alignment horizontal="center" readingOrder="0" shrinkToFit="0" vertical="center" wrapText="1"/>
    </xf>
    <xf borderId="4" fillId="6" fontId="14" numFmtId="0" xfId="0" applyAlignment="1" applyBorder="1" applyFill="1" applyFont="1">
      <alignment horizontal="center" readingOrder="0" shrinkToFit="0" vertical="center" wrapText="1"/>
    </xf>
    <xf borderId="18" fillId="7" fontId="15" numFmtId="0" xfId="0" applyAlignment="1" applyBorder="1" applyFill="1" applyFont="1">
      <alignment horizontal="center" readingOrder="0" shrinkToFit="0" vertical="center" wrapText="0"/>
    </xf>
    <xf borderId="4" fillId="3" fontId="15" numFmtId="0" xfId="0" applyAlignment="1" applyBorder="1" applyFont="1">
      <alignment horizontal="center" readingOrder="0" shrinkToFit="0" vertical="center" wrapText="0"/>
    </xf>
    <xf borderId="4" fillId="3" fontId="15" numFmtId="10" xfId="0" applyAlignment="1" applyBorder="1" applyFont="1" applyNumberFormat="1">
      <alignment horizontal="center" readingOrder="0" shrinkToFit="0" vertical="center" wrapText="0"/>
    </xf>
    <xf borderId="4" fillId="3" fontId="15" numFmtId="9" xfId="0" applyAlignment="1" applyBorder="1" applyFont="1" applyNumberFormat="1">
      <alignment horizontal="center" readingOrder="0" shrinkToFit="0" vertical="center" wrapText="0"/>
    </xf>
    <xf borderId="4" fillId="3" fontId="1" numFmtId="0" xfId="0" applyAlignment="1" applyBorder="1" applyFont="1">
      <alignment horizontal="center" readingOrder="0" shrinkToFit="0" vertical="center" wrapText="1"/>
    </xf>
    <xf borderId="18" fillId="6" fontId="15" numFmtId="0" xfId="0" applyAlignment="1" applyBorder="1" applyFont="1">
      <alignment horizontal="center" readingOrder="0" shrinkToFit="0" vertical="center" wrapText="0"/>
    </xf>
    <xf borderId="18" fillId="6" fontId="15" numFmtId="9" xfId="0" applyAlignment="1" applyBorder="1" applyFont="1" applyNumberFormat="1">
      <alignment horizontal="center" readingOrder="0" shrinkToFit="0" vertical="center" wrapText="0"/>
    </xf>
    <xf borderId="4" fillId="8" fontId="14" numFmtId="0" xfId="0" applyAlignment="1" applyBorder="1" applyFill="1" applyFont="1">
      <alignment horizontal="center" readingOrder="0" shrinkToFit="0" vertical="center" wrapText="1"/>
    </xf>
    <xf borderId="18" fillId="8" fontId="15" numFmtId="0" xfId="0" applyAlignment="1" applyBorder="1" applyFont="1">
      <alignment horizontal="center" readingOrder="0" shrinkToFit="0" vertical="center" wrapText="0"/>
    </xf>
    <xf borderId="20" fillId="4" fontId="16" numFmtId="165" xfId="0" applyAlignment="1" applyBorder="1" applyFont="1" applyNumberFormat="1">
      <alignment horizontal="center" readingOrder="0" vertical="center"/>
    </xf>
    <xf borderId="5" fillId="9" fontId="17" numFmtId="0" xfId="0" applyAlignment="1" applyBorder="1" applyFill="1" applyFont="1">
      <alignment readingOrder="0"/>
    </xf>
    <xf borderId="5" fillId="9" fontId="1" numFmtId="0" xfId="0" applyBorder="1" applyFont="1"/>
    <xf borderId="5" fillId="9" fontId="1" numFmtId="0" xfId="0" applyAlignment="1" applyBorder="1" applyFont="1">
      <alignment readingOrder="0" shrinkToFit="0" wrapText="0"/>
    </xf>
    <xf borderId="5" fillId="3" fontId="1" numFmtId="0" xfId="0" applyBorder="1" applyFont="1"/>
    <xf borderId="0" fillId="5" fontId="10" numFmtId="0" xfId="0" applyAlignment="1" applyFont="1">
      <alignment horizontal="left" readingOrder="0" vertical="center"/>
    </xf>
    <xf borderId="21" fillId="3" fontId="1" numFmtId="0" xfId="0" applyAlignment="1" applyBorder="1" applyFont="1">
      <alignment readingOrder="0"/>
    </xf>
    <xf borderId="22" fillId="3" fontId="1" numFmtId="0" xfId="0" applyBorder="1" applyFont="1"/>
    <xf borderId="23" fillId="3" fontId="1" numFmtId="0" xfId="0" applyBorder="1" applyFont="1"/>
    <xf borderId="21" fillId="3" fontId="18" numFmtId="0" xfId="0" applyAlignment="1" applyBorder="1" applyFont="1">
      <alignment readingOrder="0"/>
    </xf>
    <xf borderId="24" fillId="3" fontId="1" numFmtId="0" xfId="0" applyAlignment="1" applyBorder="1" applyFont="1">
      <alignment readingOrder="0"/>
    </xf>
    <xf borderId="10" fillId="3" fontId="1" numFmtId="0" xfId="0" applyBorder="1" applyFont="1"/>
    <xf borderId="25" fillId="3" fontId="1" numFmtId="0" xfId="0" applyBorder="1" applyFont="1"/>
    <xf borderId="24" fillId="3" fontId="19" numFmtId="0" xfId="0" applyAlignment="1" applyBorder="1" applyFont="1">
      <alignment readingOrder="0"/>
    </xf>
    <xf borderId="0" fillId="5" fontId="10" numFmtId="0" xfId="0" applyAlignment="1" applyFont="1">
      <alignment horizontal="left" readingOrder="0" shrinkToFit="0" vertical="center" wrapText="1"/>
    </xf>
    <xf borderId="24" fillId="3" fontId="20" numFmtId="0" xfId="0" applyAlignment="1" applyBorder="1" applyFont="1">
      <alignment readingOrder="0"/>
    </xf>
    <xf borderId="9" fillId="3" fontId="1" numFmtId="0" xfId="0" applyBorder="1" applyFont="1"/>
    <xf borderId="0" fillId="0" fontId="0" numFmtId="0" xfId="0" applyAlignment="1" applyFont="1">
      <alignment horizontal="left" readingOrder="0"/>
    </xf>
    <xf borderId="0" fillId="0" fontId="21" numFmtId="0" xfId="0" applyFont="1"/>
    <xf borderId="0" fillId="0" fontId="21" numFmtId="0" xfId="0" applyAlignment="1" applyFont="1">
      <alignment shrinkToFit="0" wrapText="1"/>
    </xf>
    <xf borderId="0" fillId="0" fontId="21" numFmtId="10" xfId="0" applyFont="1" applyNumberFormat="1"/>
    <xf borderId="0" fillId="0" fontId="0" numFmtId="0" xfId="0" applyAlignment="1" applyFont="1">
      <alignment horizontal="left"/>
    </xf>
    <xf borderId="26" fillId="0" fontId="0" numFmtId="0" xfId="0" applyAlignment="1" applyBorder="1" applyFont="1">
      <alignment horizontal="center" readingOrder="0"/>
    </xf>
    <xf borderId="26" fillId="0" fontId="22" numFmtId="0" xfId="0" applyAlignment="1" applyBorder="1" applyFont="1">
      <alignment horizontal="center" readingOrder="0"/>
    </xf>
    <xf borderId="26" fillId="0" fontId="22" numFmtId="0" xfId="0" applyAlignment="1" applyBorder="1" applyFont="1">
      <alignment horizontal="center" readingOrder="0" shrinkToFit="0" wrapText="1"/>
    </xf>
    <xf borderId="27" fillId="0" fontId="0" numFmtId="0" xfId="0" applyAlignment="1" applyBorder="1" applyFont="1">
      <alignment horizontal="left" readingOrder="0"/>
    </xf>
    <xf borderId="26" fillId="0" fontId="0" numFmtId="0" xfId="0" applyAlignment="1" applyBorder="1" applyFont="1">
      <alignment horizontal="left" readingOrder="0"/>
    </xf>
    <xf borderId="26" fillId="0" fontId="0" numFmtId="0" xfId="0" applyAlignment="1" applyBorder="1" applyFont="1">
      <alignment horizontal="left" readingOrder="0" shrinkToFit="0" wrapText="1"/>
    </xf>
    <xf borderId="27" fillId="0" fontId="0" numFmtId="0" xfId="0" applyAlignment="1" applyBorder="1" applyFont="1">
      <alignment horizontal="center" readingOrder="0"/>
    </xf>
    <xf borderId="0" fillId="0" fontId="21" numFmtId="10" xfId="0" applyAlignment="1" applyFont="1" applyNumberFormat="1">
      <alignment readingOrder="0"/>
    </xf>
    <xf borderId="28" fillId="0" fontId="11" numFmtId="0" xfId="0" applyBorder="1" applyFont="1"/>
    <xf borderId="29" fillId="0" fontId="11" numFmtId="0" xfId="0" applyBorder="1" applyFont="1"/>
    <xf borderId="26" fillId="0" fontId="0" numFmtId="0" xfId="0" applyAlignment="1" applyBorder="1" applyFont="1">
      <alignment horizontal="left" shrinkToFit="0" wrapText="1"/>
    </xf>
    <xf borderId="26" fillId="3" fontId="0" numFmtId="0" xfId="0" applyAlignment="1" applyBorder="1" applyFont="1">
      <alignment horizontal="left" readingOrder="0" shrinkToFit="0" wrapText="1"/>
    </xf>
    <xf borderId="26" fillId="10" fontId="0" numFmtId="0" xfId="0" applyAlignment="1" applyBorder="1" applyFill="1" applyFont="1">
      <alignment horizontal="left" readingOrder="0"/>
    </xf>
    <xf borderId="26" fillId="10" fontId="0" numFmtId="0" xfId="0" applyAlignment="1" applyBorder="1" applyFont="1">
      <alignment horizontal="center" readingOrder="0"/>
    </xf>
    <xf borderId="0" fillId="0" fontId="0" numFmtId="0" xfId="0" applyFont="1"/>
    <xf borderId="0" fillId="0" fontId="23" numFmtId="0" xfId="0" applyAlignment="1" applyFont="1">
      <alignment horizontal="center" readingOrder="0" shrinkToFit="0" vertical="center" wrapText="1"/>
    </xf>
    <xf borderId="0" fillId="0" fontId="24" numFmtId="0" xfId="0" applyFont="1"/>
    <xf borderId="0" fillId="0" fontId="25" numFmtId="0" xfId="0" applyAlignment="1" applyFont="1">
      <alignment horizontal="left" readingOrder="0" shrinkToFit="0" vertical="center" wrapText="0"/>
    </xf>
    <xf borderId="26" fillId="0" fontId="23" numFmtId="0" xfId="0" applyAlignment="1" applyBorder="1" applyFont="1">
      <alignment horizontal="center" readingOrder="0" shrinkToFit="0" vertical="center" wrapText="1"/>
    </xf>
    <xf borderId="26" fillId="0" fontId="23" numFmtId="9" xfId="0" applyAlignment="1" applyBorder="1" applyFont="1" applyNumberFormat="1">
      <alignment horizontal="center" readingOrder="0" shrinkToFit="0" vertical="center" wrapText="1"/>
    </xf>
    <xf borderId="26" fillId="0" fontId="23" numFmtId="10" xfId="0" applyAlignment="1" applyBorder="1" applyFont="1" applyNumberFormat="1">
      <alignment horizontal="center" readingOrder="0" shrinkToFit="0" vertical="center" wrapText="1"/>
    </xf>
    <xf borderId="26" fillId="0" fontId="26" numFmtId="0" xfId="0" applyAlignment="1" applyBorder="1" applyFont="1">
      <alignment horizontal="center" readingOrder="0"/>
    </xf>
    <xf borderId="27" fillId="0" fontId="26" numFmtId="0" xfId="0" applyAlignment="1" applyBorder="1" applyFont="1">
      <alignment horizontal="center" readingOrder="0" shrinkToFit="0" vertical="center" wrapText="1"/>
    </xf>
    <xf borderId="26" fillId="0" fontId="26" numFmtId="10" xfId="0" applyAlignment="1" applyBorder="1" applyFont="1" applyNumberFormat="1">
      <alignment horizontal="center" readingOrder="0"/>
    </xf>
    <xf borderId="0" fillId="0" fontId="26" numFmtId="0" xfId="0" applyAlignment="1" applyFont="1">
      <alignment horizontal="center" readingOrder="0"/>
    </xf>
    <xf borderId="0" fillId="0" fontId="27" numFmtId="0" xfId="0" applyAlignment="1" applyFont="1">
      <alignment horizontal="left"/>
    </xf>
    <xf borderId="0" fillId="0" fontId="23" numFmtId="10" xfId="0" applyAlignment="1" applyFont="1" applyNumberFormat="1">
      <alignment horizontal="center" readingOrder="0" shrinkToFit="0" vertical="center" wrapText="1"/>
    </xf>
    <xf borderId="0" fillId="0" fontId="28" numFmtId="0" xfId="0" applyAlignment="1" applyFont="1">
      <alignment horizontal="center" readingOrder="0" shrinkToFit="0" vertical="center" wrapText="1"/>
    </xf>
    <xf borderId="0" fillId="0" fontId="29" numFmtId="0" xfId="0" applyAlignment="1" applyFont="1">
      <alignment horizontal="center" readingOrder="0" shrinkToFit="0" vertical="center" wrapText="1"/>
    </xf>
    <xf borderId="0" fillId="0" fontId="23" numFmtId="0" xfId="0" applyAlignment="1" applyFont="1">
      <alignment horizontal="center" shrinkToFit="0" vertical="center" wrapText="1"/>
    </xf>
    <xf borderId="0" fillId="0" fontId="24" numFmtId="0" xfId="0" applyAlignment="1" applyFont="1">
      <alignment readingOrder="0"/>
    </xf>
    <xf borderId="0" fillId="0" fontId="24" numFmtId="10" xfId="0" applyAlignment="1" applyFont="1" applyNumberFormat="1">
      <alignment readingOrder="0"/>
    </xf>
    <xf borderId="0" fillId="11" fontId="17" numFmtId="0" xfId="0" applyAlignment="1" applyFill="1" applyFont="1">
      <alignment horizontal="center" readingOrder="0"/>
    </xf>
    <xf borderId="30" fillId="2" fontId="1" numFmtId="0" xfId="0" applyAlignment="1" applyBorder="1" applyFont="1">
      <alignment readingOrder="0"/>
    </xf>
    <xf borderId="31" fillId="12" fontId="17" numFmtId="0" xfId="0" applyAlignment="1" applyBorder="1" applyFill="1" applyFont="1">
      <alignment readingOrder="0"/>
    </xf>
    <xf borderId="31" fillId="12" fontId="1" numFmtId="0" xfId="0" applyBorder="1" applyFont="1"/>
    <xf borderId="31" fillId="12" fontId="1" numFmtId="164" xfId="0" applyBorder="1" applyFont="1" applyNumberFormat="1"/>
    <xf borderId="32" fillId="2" fontId="1" numFmtId="0" xfId="0" applyBorder="1" applyFont="1"/>
    <xf borderId="33" fillId="2" fontId="30" numFmtId="0" xfId="0" applyAlignment="1" applyBorder="1" applyFont="1">
      <alignment readingOrder="0"/>
    </xf>
    <xf borderId="34" fillId="2" fontId="30" numFmtId="0" xfId="0" applyAlignment="1" applyBorder="1" applyFont="1">
      <alignment readingOrder="0"/>
    </xf>
    <xf borderId="34" fillId="2" fontId="1" numFmtId="0" xfId="0" applyBorder="1" applyFont="1"/>
    <xf borderId="34" fillId="2" fontId="1" numFmtId="164" xfId="0" applyBorder="1" applyFont="1" applyNumberFormat="1"/>
    <xf borderId="33" fillId="2" fontId="1" numFmtId="0" xfId="0" applyBorder="1" applyFont="1"/>
    <xf borderId="33" fillId="2" fontId="3" numFmtId="165" xfId="0" applyAlignment="1" applyBorder="1" applyFont="1" applyNumberFormat="1">
      <alignment horizontal="center" readingOrder="0" vertical="center"/>
    </xf>
    <xf borderId="35" fillId="4" fontId="3" numFmtId="165" xfId="0" applyAlignment="1" applyBorder="1" applyFont="1" applyNumberFormat="1">
      <alignment horizontal="center" readingOrder="0" vertical="center"/>
    </xf>
    <xf borderId="36" fillId="4" fontId="3" numFmtId="165" xfId="0" applyAlignment="1" applyBorder="1" applyFont="1" applyNumberFormat="1">
      <alignment horizontal="center" readingOrder="0" vertical="center"/>
    </xf>
    <xf borderId="37" fillId="4" fontId="3" numFmtId="164" xfId="0" applyAlignment="1" applyBorder="1" applyFont="1" applyNumberFormat="1">
      <alignment horizontal="center" readingOrder="0" vertical="center"/>
    </xf>
    <xf borderId="35" fillId="0" fontId="11" numFmtId="0" xfId="0" applyBorder="1" applyFont="1"/>
    <xf borderId="37" fillId="4" fontId="3" numFmtId="0" xfId="0" applyAlignment="1" applyBorder="1" applyFont="1">
      <alignment horizontal="center" readingOrder="0" vertical="center"/>
    </xf>
    <xf borderId="33" fillId="2" fontId="1" numFmtId="0" xfId="0" applyAlignment="1" applyBorder="1" applyFont="1">
      <alignment horizontal="center" vertical="center"/>
    </xf>
    <xf borderId="33" fillId="2" fontId="1" numFmtId="0" xfId="0" applyAlignment="1" applyBorder="1" applyFont="1">
      <alignment horizontal="right" readingOrder="0" vertical="center"/>
    </xf>
    <xf borderId="0" fillId="0" fontId="17" numFmtId="0" xfId="0" applyAlignment="1" applyFont="1">
      <alignment horizontal="right" readingOrder="0" vertical="center"/>
    </xf>
    <xf borderId="0" fillId="6" fontId="1" numFmtId="165" xfId="0" applyAlignment="1" applyFont="1" applyNumberFormat="1">
      <alignment horizontal="right" readingOrder="0" vertical="center"/>
    </xf>
    <xf borderId="38" fillId="12" fontId="1" numFmtId="0" xfId="0" applyAlignment="1" applyBorder="1" applyFont="1">
      <alignment horizontal="center" vertical="center"/>
    </xf>
    <xf borderId="39" fillId="12" fontId="1" numFmtId="164" xfId="0" applyAlignment="1" applyBorder="1" applyFont="1" applyNumberFormat="1">
      <alignment horizontal="right" readingOrder="0" vertical="center"/>
    </xf>
    <xf borderId="0" fillId="6" fontId="31" numFmtId="0" xfId="0" applyAlignment="1" applyFont="1">
      <alignment horizontal="center" readingOrder="0" shrinkToFit="0" vertical="center" wrapText="1"/>
    </xf>
    <xf borderId="40" fillId="12" fontId="1" numFmtId="0" xfId="0" applyAlignment="1" applyBorder="1" applyFont="1">
      <alignment horizontal="center" vertical="center"/>
    </xf>
    <xf borderId="41" fillId="12" fontId="1" numFmtId="164" xfId="0" applyAlignment="1" applyBorder="1" applyFont="1" applyNumberFormat="1">
      <alignment horizontal="right" readingOrder="0" vertical="center"/>
    </xf>
    <xf borderId="0" fillId="6" fontId="31" numFmtId="0" xfId="0" applyAlignment="1" applyFont="1">
      <alignment horizontal="center" readingOrder="0" vertical="center"/>
    </xf>
    <xf borderId="0" fillId="0" fontId="1" numFmtId="0" xfId="0" applyAlignment="1" applyFont="1">
      <alignment horizontal="right" readingOrder="0" vertical="center"/>
    </xf>
    <xf borderId="42" fillId="12" fontId="1" numFmtId="0" xfId="0" applyAlignment="1" applyBorder="1" applyFont="1">
      <alignment horizontal="center" vertical="center"/>
    </xf>
    <xf borderId="43" fillId="12" fontId="1" numFmtId="164" xfId="0" applyAlignment="1" applyBorder="1" applyFont="1" applyNumberFormat="1">
      <alignment horizontal="right" readingOrder="0" vertical="center"/>
    </xf>
    <xf borderId="33" fillId="2" fontId="32" numFmtId="0" xfId="0" applyAlignment="1" applyBorder="1" applyFont="1">
      <alignment horizontal="right" readingOrder="0" vertical="center"/>
    </xf>
    <xf borderId="44" fillId="5" fontId="10" numFmtId="0" xfId="0" applyAlignment="1" applyBorder="1" applyFont="1">
      <alignment horizontal="right" readingOrder="0" vertical="center"/>
    </xf>
    <xf borderId="45" fillId="5" fontId="10" numFmtId="165" xfId="0" applyAlignment="1" applyBorder="1" applyFont="1" applyNumberFormat="1">
      <alignment horizontal="right" readingOrder="0" vertical="center"/>
    </xf>
    <xf borderId="45" fillId="5" fontId="32" numFmtId="0" xfId="0" applyAlignment="1" applyBorder="1" applyFont="1">
      <alignment horizontal="center" vertical="center"/>
    </xf>
    <xf borderId="45" fillId="5" fontId="10" numFmtId="164" xfId="0" applyAlignment="1" applyBorder="1" applyFont="1" applyNumberFormat="1">
      <alignment horizontal="right" vertical="center"/>
    </xf>
    <xf borderId="30" fillId="2" fontId="32" numFmtId="0" xfId="0" applyAlignment="1" applyBorder="1" applyFont="1">
      <alignment horizontal="right" readingOrder="0" vertical="center"/>
    </xf>
    <xf borderId="46" fillId="0" fontId="11" numFmtId="0" xfId="0" applyBorder="1" applyFont="1"/>
    <xf borderId="32" fillId="0" fontId="11" numFmtId="0" xfId="0" applyBorder="1" applyFont="1"/>
    <xf borderId="0" fillId="2" fontId="32" numFmtId="0" xfId="0" applyAlignment="1" applyFont="1">
      <alignment horizontal="right" readingOrder="0" vertical="center"/>
    </xf>
    <xf borderId="33" fillId="2" fontId="3" numFmtId="0" xfId="0" applyAlignment="1" applyBorder="1" applyFont="1">
      <alignment horizontal="center" readingOrder="0" vertical="center"/>
    </xf>
    <xf borderId="6" fillId="4" fontId="3" numFmtId="0" xfId="0" applyAlignment="1" applyBorder="1" applyFont="1">
      <alignment horizontal="center" readingOrder="0" vertical="center"/>
    </xf>
    <xf borderId="7" fillId="4" fontId="3" numFmtId="165" xfId="0" applyAlignment="1" applyBorder="1" applyFont="1" applyNumberFormat="1">
      <alignment horizontal="center" readingOrder="0" vertical="center"/>
    </xf>
    <xf borderId="7" fillId="4" fontId="33" numFmtId="0" xfId="0" applyAlignment="1" applyBorder="1" applyFont="1">
      <alignment horizontal="center" readingOrder="0" vertical="center"/>
    </xf>
    <xf borderId="7" fillId="4" fontId="3" numFmtId="164" xfId="0" applyAlignment="1" applyBorder="1" applyFont="1" applyNumberFormat="1">
      <alignment horizontal="center" readingOrder="0" vertical="center"/>
    </xf>
    <xf borderId="8" fillId="4" fontId="3" numFmtId="0" xfId="0" applyAlignment="1" applyBorder="1" applyFont="1">
      <alignment horizontal="center" readingOrder="0" vertical="center"/>
    </xf>
    <xf borderId="0" fillId="12" fontId="1" numFmtId="165" xfId="0" applyAlignment="1" applyFont="1" applyNumberFormat="1">
      <alignment horizontal="center" readingOrder="0" shrinkToFit="0" vertical="center" wrapText="0"/>
    </xf>
    <xf borderId="0" fillId="0" fontId="1" numFmtId="10" xfId="0" applyAlignment="1" applyFont="1" applyNumberFormat="1">
      <alignment horizontal="center" vertical="center"/>
    </xf>
    <xf borderId="0" fillId="0" fontId="1" numFmtId="164" xfId="0" applyAlignment="1" applyFont="1" applyNumberFormat="1">
      <alignment horizontal="right" vertical="center"/>
    </xf>
    <xf borderId="0" fillId="12" fontId="1" numFmtId="0" xfId="0" applyAlignment="1" applyFont="1">
      <alignment horizontal="center" readingOrder="0" shrinkToFit="0" vertical="center" wrapText="1"/>
    </xf>
    <xf borderId="0" fillId="0" fontId="1" numFmtId="10" xfId="0" applyAlignment="1" applyFont="1" applyNumberFormat="1">
      <alignment horizontal="center" readingOrder="0" vertical="center"/>
    </xf>
    <xf borderId="0" fillId="12" fontId="1" numFmtId="0" xfId="0" applyAlignment="1" applyFont="1">
      <alignment horizontal="center" readingOrder="0" vertical="center"/>
    </xf>
    <xf borderId="0" fillId="0" fontId="1" numFmtId="165" xfId="0" applyAlignment="1" applyFont="1" applyNumberFormat="1">
      <alignment horizontal="center" readingOrder="0" vertical="center"/>
    </xf>
    <xf borderId="0" fillId="0" fontId="1" numFmtId="164" xfId="0" applyAlignment="1" applyFont="1" applyNumberFormat="1">
      <alignment horizontal="center" readingOrder="0" vertical="center"/>
    </xf>
    <xf borderId="0" fillId="0" fontId="1" numFmtId="164" xfId="0" applyAlignment="1" applyFont="1" applyNumberFormat="1">
      <alignment horizontal="right" readingOrder="0" vertical="center"/>
    </xf>
    <xf borderId="45" fillId="5" fontId="32" numFmtId="165" xfId="0" applyAlignment="1" applyBorder="1" applyFont="1" applyNumberFormat="1">
      <alignment horizontal="center" vertical="center"/>
    </xf>
    <xf borderId="45" fillId="5" fontId="10" numFmtId="10" xfId="0" applyAlignment="1" applyBorder="1" applyFont="1" applyNumberFormat="1">
      <alignment horizontal="right" vertical="center"/>
    </xf>
    <xf borderId="33" fillId="2" fontId="34" numFmtId="0" xfId="0" applyAlignment="1" applyBorder="1" applyFont="1">
      <alignment horizontal="right" readingOrder="0" vertical="center"/>
    </xf>
    <xf borderId="47" fillId="13" fontId="34" numFmtId="0" xfId="0" applyAlignment="1" applyBorder="1" applyFill="1" applyFont="1">
      <alignment horizontal="right" readingOrder="0" vertical="center"/>
    </xf>
    <xf borderId="48" fillId="13" fontId="32" numFmtId="0" xfId="0" applyBorder="1" applyFont="1"/>
    <xf borderId="49" fillId="13" fontId="35" numFmtId="164" xfId="0" applyAlignment="1" applyBorder="1" applyFont="1" applyNumberFormat="1">
      <alignment horizontal="right" vertical="center"/>
    </xf>
    <xf borderId="0" fillId="6" fontId="36" numFmtId="0" xfId="0" applyAlignment="1" applyFont="1">
      <alignment horizontal="center" readingOrder="0" shrinkToFit="0" vertical="center" wrapText="1"/>
    </xf>
    <xf borderId="50" fillId="2" fontId="1" numFmtId="0" xfId="0" applyAlignment="1" applyBorder="1" applyFont="1">
      <alignment readingOrder="0"/>
    </xf>
    <xf borderId="33" fillId="2" fontId="1" numFmtId="0" xfId="0" applyAlignment="1" applyBorder="1" applyFont="1">
      <alignment readingOrder="0"/>
    </xf>
    <xf borderId="33" fillId="2" fontId="1" numFmtId="164" xfId="0" applyBorder="1" applyFont="1" applyNumberFormat="1"/>
    <xf borderId="50" fillId="2" fontId="1" numFmtId="0" xfId="0" applyBorder="1" applyFont="1"/>
    <xf borderId="6" fillId="4" fontId="37" numFmtId="0" xfId="0" applyAlignment="1" applyBorder="1" applyFont="1">
      <alignment horizontal="center" vertical="center"/>
    </xf>
    <xf borderId="7" fillId="4" fontId="37" numFmtId="165" xfId="0" applyAlignment="1" applyBorder="1" applyFont="1" applyNumberFormat="1">
      <alignment horizontal="center" vertical="center"/>
    </xf>
    <xf borderId="7" fillId="4" fontId="38" numFmtId="0" xfId="0" applyAlignment="1" applyBorder="1" applyFont="1">
      <alignment horizontal="center" vertical="center"/>
    </xf>
    <xf borderId="7" fillId="4" fontId="37" numFmtId="164" xfId="0" applyAlignment="1" applyBorder="1" applyFont="1" applyNumberFormat="1">
      <alignment horizontal="center" vertical="center"/>
    </xf>
    <xf borderId="8" fillId="4" fontId="37" numFmtId="0" xfId="0" applyAlignment="1" applyBorder="1" applyFont="1">
      <alignment horizontal="center" vertical="center"/>
    </xf>
    <xf borderId="0" fillId="0" fontId="39" numFmtId="0" xfId="0" applyAlignment="1" applyFont="1">
      <alignment horizontal="right" vertical="center"/>
    </xf>
    <xf borderId="0" fillId="0" fontId="40" numFmtId="165" xfId="0" applyAlignment="1" applyFont="1" applyNumberFormat="1">
      <alignment horizontal="center" vertical="center"/>
    </xf>
    <xf borderId="0" fillId="12" fontId="40" numFmtId="10" xfId="0" applyAlignment="1" applyFont="1" applyNumberFormat="1">
      <alignment horizontal="center" readingOrder="0" vertical="center"/>
    </xf>
    <xf borderId="0" fillId="0" fontId="40" numFmtId="164" xfId="0" applyAlignment="1" applyFont="1" applyNumberFormat="1">
      <alignment horizontal="right" vertical="center"/>
    </xf>
    <xf borderId="0" fillId="6" fontId="41" numFmtId="0" xfId="0" applyAlignment="1" applyFont="1">
      <alignment horizontal="center" shrinkToFit="0" vertical="center" wrapText="1"/>
    </xf>
    <xf borderId="47" fillId="13" fontId="42" numFmtId="0" xfId="0" applyAlignment="1" applyBorder="1" applyFont="1">
      <alignment horizontal="right" vertical="center"/>
    </xf>
    <xf borderId="48" fillId="13" fontId="40" numFmtId="0" xfId="0" applyAlignment="1" applyBorder="1" applyFont="1">
      <alignment vertical="center"/>
    </xf>
    <xf borderId="49" fillId="13" fontId="43" numFmtId="164" xfId="0" applyAlignment="1" applyBorder="1" applyFont="1" applyNumberFormat="1">
      <alignment horizontal="right" vertical="center"/>
    </xf>
    <xf borderId="0" fillId="6" fontId="44" numFmtId="0" xfId="0" applyAlignment="1" applyFont="1">
      <alignment horizontal="center" shrinkToFit="0" vertical="center" wrapText="1"/>
    </xf>
    <xf borderId="0" fillId="2" fontId="1" numFmtId="0" xfId="0" applyAlignment="1" applyFont="1">
      <alignment readingOrder="0"/>
    </xf>
    <xf borderId="0" fillId="2" fontId="1" numFmtId="0" xfId="0" applyFont="1"/>
    <xf borderId="0" fillId="2" fontId="1" numFmtId="164" xfId="0" applyFont="1" applyNumberFormat="1"/>
    <xf borderId="0" fillId="0" fontId="1" numFmtId="166" xfId="0" applyAlignment="1" applyFont="1" applyNumberFormat="1">
      <alignment horizontal="center" readingOrder="0" vertical="center"/>
    </xf>
    <xf borderId="51" fillId="5" fontId="35" numFmtId="0" xfId="0" applyAlignment="1" applyBorder="1" applyFont="1">
      <alignment horizontal="right" readingOrder="0" vertical="center"/>
    </xf>
    <xf borderId="51" fillId="5" fontId="45" numFmtId="165" xfId="0" applyAlignment="1" applyBorder="1" applyFont="1" applyNumberFormat="1">
      <alignment horizontal="center" readingOrder="0" vertical="center"/>
    </xf>
    <xf borderId="51" fillId="5" fontId="10" numFmtId="10" xfId="0" applyAlignment="1" applyBorder="1" applyFont="1" applyNumberFormat="1">
      <alignment horizontal="right" vertical="center"/>
    </xf>
    <xf borderId="51" fillId="5" fontId="35" numFmtId="164" xfId="0" applyAlignment="1" applyBorder="1" applyFont="1" applyNumberFormat="1">
      <alignment horizontal="right" vertical="center"/>
    </xf>
    <xf borderId="52" fillId="2" fontId="1" numFmtId="0" xfId="0" applyAlignment="1" applyBorder="1" applyFont="1">
      <alignment readingOrder="0"/>
    </xf>
    <xf borderId="52" fillId="2" fontId="1" numFmtId="0" xfId="0" applyBorder="1" applyFont="1"/>
    <xf borderId="52" fillId="2" fontId="1" numFmtId="164" xfId="0" applyBorder="1" applyFont="1" applyNumberFormat="1"/>
    <xf borderId="46" fillId="2" fontId="1" numFmtId="0" xfId="0" applyAlignment="1" applyBorder="1" applyFont="1">
      <alignment readingOrder="0"/>
    </xf>
    <xf borderId="20" fillId="4" fontId="37" numFmtId="165" xfId="0" applyAlignment="1" applyBorder="1" applyFont="1" applyNumberFormat="1">
      <alignment horizontal="center" vertical="center"/>
    </xf>
    <xf borderId="20" fillId="0" fontId="11" numFmtId="0" xfId="0" applyBorder="1" applyFont="1"/>
    <xf borderId="37" fillId="4" fontId="37" numFmtId="0" xfId="0" applyAlignment="1" applyBorder="1" applyFont="1">
      <alignment horizontal="center" vertical="center"/>
    </xf>
    <xf borderId="46" fillId="2" fontId="1" numFmtId="0" xfId="0" applyBorder="1" applyFont="1"/>
    <xf borderId="53" fillId="2" fontId="1" numFmtId="0" xfId="0" applyAlignment="1" applyBorder="1" applyFont="1">
      <alignment readingOrder="0"/>
    </xf>
    <xf borderId="0" fillId="5" fontId="46" numFmtId="164" xfId="0" applyAlignment="1" applyFont="1" applyNumberFormat="1">
      <alignment horizontal="center"/>
    </xf>
    <xf borderId="0" fillId="6" fontId="47" numFmtId="0" xfId="0" applyAlignment="1" applyFont="1">
      <alignment horizontal="center" vertical="center"/>
    </xf>
    <xf borderId="53" fillId="2" fontId="1" numFmtId="0" xfId="0" applyBorder="1" applyFont="1"/>
    <xf borderId="4" fillId="0" fontId="3" numFmtId="164" xfId="0" applyAlignment="1" applyBorder="1" applyFont="1" applyNumberFormat="1">
      <alignment horizontal="center" readingOrder="0" vertical="center"/>
    </xf>
    <xf borderId="4" fillId="0" fontId="3" numFmtId="0" xfId="0" applyAlignment="1" applyBorder="1" applyFont="1">
      <alignment horizontal="center" readingOrder="0" vertical="center"/>
    </xf>
    <xf borderId="4" fillId="0" fontId="40" numFmtId="0" xfId="0" applyBorder="1" applyFont="1"/>
    <xf borderId="4" fillId="0" fontId="40" numFmtId="0" xfId="0" applyAlignment="1" applyBorder="1" applyFont="1">
      <alignment horizontal="left"/>
    </xf>
    <xf borderId="4" fillId="0" fontId="40" numFmtId="164" xfId="0" applyAlignment="1" applyBorder="1" applyFont="1" applyNumberFormat="1">
      <alignment horizontal="left"/>
    </xf>
    <xf borderId="4" fillId="0" fontId="3" numFmtId="165" xfId="0" applyAlignment="1" applyBorder="1" applyFont="1" applyNumberFormat="1">
      <alignment horizontal="center" readingOrder="0" vertical="center"/>
    </xf>
    <xf borderId="24" fillId="0" fontId="1" numFmtId="0" xfId="0" applyBorder="1" applyFont="1"/>
    <xf borderId="10" fillId="0" fontId="3" numFmtId="164" xfId="0" applyAlignment="1" applyBorder="1" applyFont="1" applyNumberFormat="1">
      <alignment horizontal="center" readingOrder="0" vertical="center"/>
    </xf>
    <xf borderId="10" fillId="0" fontId="1" numFmtId="0" xfId="0" applyBorder="1" applyFont="1"/>
    <xf borderId="10" fillId="0" fontId="3" numFmtId="0" xfId="0" applyAlignment="1" applyBorder="1" applyFont="1">
      <alignment horizontal="center" readingOrder="0" vertical="center"/>
    </xf>
    <xf borderId="10" fillId="0" fontId="40" numFmtId="0" xfId="0" applyBorder="1" applyFont="1"/>
    <xf borderId="10" fillId="0" fontId="40" numFmtId="0" xfId="0" applyAlignment="1" applyBorder="1" applyFont="1">
      <alignment horizontal="left"/>
    </xf>
    <xf borderId="10" fillId="0" fontId="40" numFmtId="164" xfId="0" applyAlignment="1" applyBorder="1" applyFont="1" applyNumberFormat="1">
      <alignment horizontal="left"/>
    </xf>
    <xf borderId="10" fillId="0" fontId="3" numFmtId="165" xfId="0" applyAlignment="1" applyBorder="1" applyFont="1" applyNumberFormat="1">
      <alignment horizontal="center" readingOrder="0" vertical="center"/>
    </xf>
    <xf borderId="12" fillId="0" fontId="1" numFmtId="0" xfId="0" applyBorder="1" applyFont="1"/>
    <xf borderId="0" fillId="4" fontId="3" numFmtId="164" xfId="0" applyAlignment="1" applyFont="1" applyNumberFormat="1">
      <alignment horizontal="center" readingOrder="0" vertical="center"/>
    </xf>
    <xf borderId="20" fillId="4" fontId="3" numFmtId="164" xfId="0" applyAlignment="1" applyBorder="1" applyFont="1" applyNumberFormat="1">
      <alignment horizontal="center" readingOrder="0" vertical="center"/>
    </xf>
    <xf borderId="20" fillId="4" fontId="3" numFmtId="0" xfId="0" applyAlignment="1" applyBorder="1" applyFont="1">
      <alignment horizontal="center" readingOrder="0" vertical="center"/>
    </xf>
    <xf borderId="54" fillId="0" fontId="3" numFmtId="0" xfId="0" applyAlignment="1" applyBorder="1" applyFont="1">
      <alignment horizontal="center" readingOrder="0" vertical="center"/>
    </xf>
    <xf borderId="20" fillId="5" fontId="37" numFmtId="0" xfId="0" applyAlignment="1" applyBorder="1" applyFont="1">
      <alignment horizontal="center" readingOrder="0"/>
    </xf>
    <xf borderId="55" fillId="0" fontId="11" numFmtId="0" xfId="0" applyBorder="1" applyFont="1"/>
    <xf borderId="14" fillId="0" fontId="3" numFmtId="165" xfId="0" applyAlignment="1" applyBorder="1" applyFont="1" applyNumberFormat="1">
      <alignment horizontal="center" readingOrder="0" vertical="center"/>
    </xf>
    <xf borderId="19" fillId="0" fontId="48" numFmtId="165" xfId="0" applyAlignment="1" applyBorder="1" applyFont="1" applyNumberFormat="1">
      <alignment horizontal="center" shrinkToFit="0" vertical="center" wrapText="1"/>
    </xf>
    <xf borderId="0" fillId="0" fontId="49" numFmtId="164" xfId="0" applyAlignment="1" applyFont="1" applyNumberFormat="1">
      <alignment horizontal="center" readingOrder="0" shrinkToFit="0" vertical="center" wrapText="1"/>
    </xf>
    <xf borderId="44" fillId="5" fontId="33" numFmtId="164" xfId="0" applyAlignment="1" applyBorder="1" applyFont="1" applyNumberFormat="1">
      <alignment horizontal="center" readingOrder="0" shrinkToFit="0" vertical="center" wrapText="1"/>
    </xf>
    <xf borderId="0" fillId="0" fontId="49" numFmtId="0" xfId="0" applyAlignment="1" applyFont="1">
      <alignment horizontal="center" readingOrder="0" shrinkToFit="0" vertical="center" wrapText="1"/>
    </xf>
    <xf borderId="56" fillId="0" fontId="49" numFmtId="0" xfId="0" applyAlignment="1" applyBorder="1" applyFont="1">
      <alignment horizontal="center" readingOrder="0" shrinkToFit="0" vertical="center" wrapText="1"/>
    </xf>
    <xf borderId="0" fillId="14" fontId="39" numFmtId="0" xfId="0" applyAlignment="1" applyFill="1" applyFont="1">
      <alignment horizontal="center" readingOrder="0" shrinkToFit="0" vertical="center" wrapText="1"/>
    </xf>
    <xf borderId="0" fillId="15" fontId="39" numFmtId="0" xfId="0" applyAlignment="1" applyFill="1" applyFont="1">
      <alignment horizontal="center" readingOrder="0" shrinkToFit="0" vertical="center" wrapText="1"/>
    </xf>
    <xf borderId="0" fillId="14" fontId="39" numFmtId="0" xfId="0" applyAlignment="1" applyFont="1">
      <alignment horizontal="center" shrinkToFit="0" vertical="center" wrapText="1"/>
    </xf>
    <xf borderId="0" fillId="15" fontId="39" numFmtId="164" xfId="0" applyAlignment="1" applyFont="1" applyNumberFormat="1">
      <alignment horizontal="center" shrinkToFit="0" vertical="center" wrapText="1"/>
    </xf>
    <xf borderId="0" fillId="5" fontId="33" numFmtId="0" xfId="0" applyAlignment="1" applyFont="1">
      <alignment horizontal="center" readingOrder="0" shrinkToFit="0" vertical="center" wrapText="1"/>
    </xf>
    <xf borderId="0" fillId="15" fontId="49" numFmtId="0" xfId="0" applyAlignment="1" applyFont="1">
      <alignment horizontal="center" readingOrder="0" shrinkToFit="0" vertical="center" wrapText="1"/>
    </xf>
    <xf borderId="0" fillId="16" fontId="33" numFmtId="0" xfId="0" applyAlignment="1" applyFill="1" applyFont="1">
      <alignment horizontal="center" readingOrder="0" shrinkToFit="0" vertical="center" wrapText="1"/>
    </xf>
    <xf borderId="0" fillId="4" fontId="48" numFmtId="165" xfId="0" applyAlignment="1" applyFont="1" applyNumberFormat="1">
      <alignment horizontal="center" shrinkToFit="0" vertical="center" wrapText="1"/>
    </xf>
    <xf borderId="14" fillId="0" fontId="48" numFmtId="165" xfId="0" applyAlignment="1" applyBorder="1" applyFont="1" applyNumberFormat="1">
      <alignment horizontal="center" shrinkToFit="0" vertical="center" wrapText="1"/>
    </xf>
    <xf borderId="4" fillId="0" fontId="48" numFmtId="165" xfId="0" applyAlignment="1" applyBorder="1" applyFont="1" applyNumberFormat="1">
      <alignment horizontal="center" shrinkToFit="0" vertical="center" wrapText="1"/>
    </xf>
    <xf borderId="19" fillId="0" fontId="50" numFmtId="0" xfId="0" applyAlignment="1" applyBorder="1" applyFont="1">
      <alignment horizontal="center" shrinkToFit="0" vertical="center" wrapText="1"/>
    </xf>
    <xf borderId="0" fillId="6" fontId="51" numFmtId="164" xfId="0" applyAlignment="1" applyFont="1" applyNumberFormat="1">
      <alignment horizontal="center" readingOrder="0" shrinkToFit="0" vertical="center" wrapText="1"/>
    </xf>
    <xf borderId="0" fillId="6" fontId="51" numFmtId="0" xfId="0" applyAlignment="1" applyFont="1">
      <alignment horizontal="center" readingOrder="0" shrinkToFit="0" vertical="center" wrapText="1"/>
    </xf>
    <xf borderId="56" fillId="0" fontId="51" numFmtId="0" xfId="0" applyAlignment="1" applyBorder="1" applyFont="1">
      <alignment horizontal="center" readingOrder="0" shrinkToFit="0" vertical="center" wrapText="1"/>
    </xf>
    <xf borderId="0" fillId="6" fontId="47" numFmtId="0" xfId="0" applyAlignment="1" applyFont="1">
      <alignment horizontal="center" readingOrder="0" shrinkToFit="0" vertical="center" wrapText="1"/>
    </xf>
    <xf borderId="0" fillId="6" fontId="47" numFmtId="0" xfId="0" applyAlignment="1" applyFont="1">
      <alignment horizontal="left" readingOrder="0" shrinkToFit="0" vertical="center" wrapText="1"/>
    </xf>
    <xf borderId="0" fillId="6" fontId="47" numFmtId="164" xfId="0" applyAlignment="1" applyFont="1" applyNumberFormat="1">
      <alignment horizontal="left" shrinkToFit="0" vertical="center" wrapText="1"/>
    </xf>
    <xf borderId="0" fillId="6" fontId="47" numFmtId="0" xfId="0" applyAlignment="1" applyFont="1">
      <alignment horizontal="center" shrinkToFit="0" vertical="center" wrapText="1"/>
    </xf>
    <xf borderId="14" fillId="0" fontId="47" numFmtId="0" xfId="0" applyAlignment="1" applyBorder="1" applyFont="1">
      <alignment horizontal="center" shrinkToFit="0" vertical="center" wrapText="1"/>
    </xf>
    <xf borderId="4" fillId="0" fontId="47" numFmtId="0" xfId="0" applyAlignment="1" applyBorder="1" applyFont="1">
      <alignment horizontal="center" shrinkToFit="0" vertical="center" wrapText="1"/>
    </xf>
    <xf borderId="19" fillId="0" fontId="1" numFmtId="0" xfId="0" applyBorder="1" applyFont="1"/>
    <xf borderId="0" fillId="0" fontId="1" numFmtId="164" xfId="0" applyAlignment="1" applyFont="1" applyNumberFormat="1">
      <alignment readingOrder="0"/>
    </xf>
    <xf borderId="0" fillId="0" fontId="1" numFmtId="10" xfId="0" applyAlignment="1" applyFont="1" applyNumberFormat="1">
      <alignment readingOrder="0"/>
    </xf>
    <xf borderId="0" fillId="0" fontId="1" numFmtId="164" xfId="0" applyFont="1" applyNumberFormat="1"/>
    <xf borderId="0" fillId="0" fontId="1" numFmtId="0" xfId="0" applyAlignment="1" applyFont="1">
      <alignment readingOrder="0"/>
    </xf>
    <xf borderId="56" fillId="0" fontId="1" numFmtId="0" xfId="0" applyBorder="1" applyFont="1"/>
    <xf borderId="0" fillId="14" fontId="40" numFmtId="10" xfId="0" applyAlignment="1" applyFont="1" applyNumberFormat="1">
      <alignment readingOrder="0" vertical="bottom"/>
    </xf>
    <xf borderId="0" fillId="14" fontId="40" numFmtId="164" xfId="0" applyAlignment="1" applyFont="1" applyNumberFormat="1">
      <alignment horizontal="left" readingOrder="0" vertical="bottom"/>
    </xf>
    <xf borderId="0" fillId="15" fontId="40" numFmtId="10" xfId="0" applyAlignment="1" applyFont="1" applyNumberFormat="1">
      <alignment vertical="bottom"/>
    </xf>
    <xf borderId="0" fillId="15" fontId="40" numFmtId="164" xfId="0" applyAlignment="1" applyFont="1" applyNumberFormat="1">
      <alignment horizontal="left" vertical="bottom"/>
    </xf>
    <xf borderId="0" fillId="14" fontId="40" numFmtId="10" xfId="0" applyAlignment="1" applyFont="1" applyNumberFormat="1">
      <alignment vertical="bottom"/>
    </xf>
    <xf borderId="0" fillId="14" fontId="40" numFmtId="164" xfId="0" applyAlignment="1" applyFont="1" applyNumberFormat="1">
      <alignment horizontal="left" vertical="bottom"/>
    </xf>
    <xf borderId="0" fillId="14" fontId="40" numFmtId="9" xfId="0" applyAlignment="1" applyFont="1" applyNumberFormat="1">
      <alignment vertical="bottom"/>
    </xf>
    <xf borderId="0" fillId="14" fontId="1" numFmtId="164" xfId="0" applyFont="1" applyNumberFormat="1"/>
    <xf borderId="0" fillId="15" fontId="1" numFmtId="164" xfId="0" applyFont="1" applyNumberFormat="1"/>
    <xf borderId="0" fillId="12" fontId="1" numFmtId="164" xfId="0" applyFont="1" applyNumberFormat="1"/>
    <xf borderId="0" fillId="17" fontId="1" numFmtId="164" xfId="0" applyFill="1" applyFont="1" applyNumberFormat="1"/>
    <xf borderId="14" fillId="0" fontId="1" numFmtId="0" xfId="0" applyBorder="1" applyFont="1"/>
    <xf borderId="0" fillId="0" fontId="1" numFmtId="0" xfId="0" applyFont="1"/>
    <xf borderId="0" fillId="14" fontId="40" numFmtId="0" xfId="0" applyAlignment="1" applyFont="1">
      <alignment readingOrder="0" vertical="bottom"/>
    </xf>
    <xf borderId="0" fillId="14" fontId="40" numFmtId="0" xfId="0" applyAlignment="1" applyFont="1">
      <alignment horizontal="left" readingOrder="0" vertical="bottom"/>
    </xf>
    <xf borderId="0" fillId="15" fontId="40" numFmtId="0" xfId="0" applyAlignment="1" applyFont="1">
      <alignment vertical="bottom"/>
    </xf>
    <xf borderId="0" fillId="15" fontId="40" numFmtId="0" xfId="0" applyAlignment="1" applyFont="1">
      <alignment horizontal="left" vertical="bottom"/>
    </xf>
    <xf borderId="0" fillId="14" fontId="40" numFmtId="0" xfId="0" applyAlignment="1" applyFont="1">
      <alignment vertical="bottom"/>
    </xf>
    <xf borderId="0" fillId="14" fontId="40" numFmtId="0" xfId="0" applyAlignment="1" applyFont="1">
      <alignment horizontal="left" vertical="bottom"/>
    </xf>
    <xf borderId="0" fillId="14" fontId="1" numFmtId="0" xfId="0" applyFont="1"/>
    <xf borderId="0" fillId="15" fontId="1" numFmtId="0" xfId="0" applyFont="1"/>
    <xf borderId="0" fillId="12" fontId="1" numFmtId="0" xfId="0" applyFont="1"/>
    <xf borderId="0" fillId="17" fontId="1" numFmtId="0" xfId="0" applyFont="1"/>
    <xf borderId="16" fillId="0" fontId="1" numFmtId="0" xfId="0" applyBorder="1" applyFont="1"/>
    <xf borderId="57" fillId="0" fontId="1" numFmtId="0" xfId="0" applyBorder="1" applyFont="1"/>
    <xf borderId="17"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5.png"/><Relationship Id="rId3" Type="http://schemas.openxmlformats.org/officeDocument/2006/relationships/image" Target="../media/image7.png"/><Relationship Id="rId4" Type="http://schemas.openxmlformats.org/officeDocument/2006/relationships/image" Target="../media/image6.png"/><Relationship Id="rId5" Type="http://schemas.openxmlformats.org/officeDocument/2006/relationships/image" Target="../media/image1.png"/><Relationship Id="rId6" Type="http://schemas.openxmlformats.org/officeDocument/2006/relationships/image" Target="../media/image3.png"/><Relationship Id="rId7"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590550</xdr:colOff>
      <xdr:row>8</xdr:row>
      <xdr:rowOff>57150</xdr:rowOff>
    </xdr:from>
    <xdr:ext cx="323850" cy="323850"/>
    <xdr:sp>
      <xdr:nvSpPr>
        <xdr:cNvPr id="3" name="Shape 3"/>
        <xdr:cNvSpPr/>
      </xdr:nvSpPr>
      <xdr:spPr>
        <a:xfrm>
          <a:off x="2586300" y="2066050"/>
          <a:ext cx="510300" cy="510300"/>
        </a:xfrm>
        <a:prstGeom prst="rect">
          <a:avLst/>
        </a:prstGeom>
        <a:noFill/>
        <a:ln cap="flat" cmpd="sng" w="76200">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9</xdr:col>
      <xdr:colOff>333375</xdr:colOff>
      <xdr:row>17</xdr:row>
      <xdr:rowOff>190500</xdr:rowOff>
    </xdr:from>
    <xdr:ext cx="1485900" cy="323850"/>
    <xdr:sp>
      <xdr:nvSpPr>
        <xdr:cNvPr id="4" name="Shape 4"/>
        <xdr:cNvSpPr/>
      </xdr:nvSpPr>
      <xdr:spPr>
        <a:xfrm>
          <a:off x="2296100" y="915225"/>
          <a:ext cx="1371000" cy="470400"/>
        </a:xfrm>
        <a:prstGeom prst="rect">
          <a:avLst/>
        </a:prstGeom>
        <a:noFill/>
        <a:ln cap="flat" cmpd="sng" w="76200">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12</xdr:col>
      <xdr:colOff>609600</xdr:colOff>
      <xdr:row>17</xdr:row>
      <xdr:rowOff>200025</xdr:rowOff>
    </xdr:from>
    <xdr:ext cx="1190625" cy="419100"/>
    <xdr:sp>
      <xdr:nvSpPr>
        <xdr:cNvPr id="5" name="Shape 5"/>
        <xdr:cNvSpPr/>
      </xdr:nvSpPr>
      <xdr:spPr>
        <a:xfrm>
          <a:off x="2156000" y="414875"/>
          <a:ext cx="1401000" cy="480300"/>
        </a:xfrm>
        <a:prstGeom prst="rect">
          <a:avLst/>
        </a:prstGeom>
        <a:noFill/>
        <a:ln cap="flat" cmpd="sng" w="76200">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xdr:col>
      <xdr:colOff>0</xdr:colOff>
      <xdr:row>6</xdr:row>
      <xdr:rowOff>247650</xdr:rowOff>
    </xdr:from>
    <xdr:ext cx="3619500" cy="18859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476250</xdr:colOff>
      <xdr:row>6</xdr:row>
      <xdr:rowOff>247650</xdr:rowOff>
    </xdr:from>
    <xdr:ext cx="2228850" cy="481965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238125</xdr:colOff>
      <xdr:row>6</xdr:row>
      <xdr:rowOff>247650</xdr:rowOff>
    </xdr:from>
    <xdr:ext cx="2228850" cy="4819650"/>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676275</xdr:colOff>
      <xdr:row>6</xdr:row>
      <xdr:rowOff>247650</xdr:rowOff>
    </xdr:from>
    <xdr:ext cx="2228850" cy="4819650"/>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33</xdr:row>
      <xdr:rowOff>285750</xdr:rowOff>
    </xdr:from>
    <xdr:ext cx="9696450" cy="419100"/>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40</xdr:row>
      <xdr:rowOff>190500</xdr:rowOff>
    </xdr:from>
    <xdr:ext cx="6229350" cy="2152650"/>
    <xdr:pic>
      <xdr:nvPicPr>
        <xdr:cNvPr id="0" name="image3.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495300</xdr:colOff>
      <xdr:row>57</xdr:row>
      <xdr:rowOff>76200</xdr:rowOff>
    </xdr:from>
    <xdr:ext cx="6305550" cy="2933700"/>
    <xdr:pic>
      <xdr:nvPicPr>
        <xdr:cNvPr id="0" name="image4.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eller.shopee.co.id/edu/article/24877" TargetMode="External"/><Relationship Id="rId2" Type="http://schemas.openxmlformats.org/officeDocument/2006/relationships/hyperlink" Target="https://seller.shopee.co.id/edu/article/7216" TargetMode="External"/><Relationship Id="rId3" Type="http://schemas.openxmlformats.org/officeDocument/2006/relationships/hyperlink" Target="https://seller.shopee.co.id/edu/article/24877" TargetMode="External"/><Relationship Id="rId4" Type="http://schemas.openxmlformats.org/officeDocument/2006/relationships/hyperlink" Target="https://seller.shopee.co.id/edu/article/27370" TargetMode="External"/><Relationship Id="rId5" Type="http://schemas.openxmlformats.org/officeDocument/2006/relationships/hyperlink" Target="https://seller.shopee.co.id/edu/article/26487"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eller.shopee.co.id/edu/article/24877" TargetMode="External"/><Relationship Id="rId2" Type="http://schemas.openxmlformats.org/officeDocument/2006/relationships/hyperlink" Target="https://seller.shopee.co.id/edu/article/26487"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21.38"/>
    <col customWidth="1" min="3" max="6" width="8.88"/>
    <col customWidth="1" min="7" max="7" width="10.88"/>
    <col customWidth="1" min="8" max="17" width="8.88"/>
    <col customWidth="1" min="18" max="18" width="14.0"/>
  </cols>
  <sheetData>
    <row r="1">
      <c r="A1" s="1"/>
      <c r="B1" s="2" t="s">
        <v>0</v>
      </c>
      <c r="C1" s="3"/>
      <c r="D1" s="3"/>
      <c r="E1" s="4"/>
      <c r="F1" s="3"/>
      <c r="G1" s="5"/>
      <c r="H1" s="5"/>
      <c r="I1" s="5"/>
      <c r="J1" s="5"/>
      <c r="K1" s="5"/>
      <c r="L1" s="5"/>
      <c r="M1" s="5"/>
      <c r="N1" s="5"/>
      <c r="O1" s="5"/>
      <c r="P1" s="5"/>
      <c r="Q1" s="5"/>
      <c r="R1" s="5"/>
    </row>
    <row r="2">
      <c r="A2" s="6"/>
      <c r="B2" s="7" t="s">
        <v>1</v>
      </c>
      <c r="C2" s="8"/>
      <c r="D2" s="8"/>
      <c r="E2" s="8"/>
      <c r="F2" s="8"/>
      <c r="G2" s="8"/>
      <c r="H2" s="8"/>
      <c r="I2" s="8"/>
      <c r="J2" s="8"/>
      <c r="K2" s="8"/>
      <c r="L2" s="8"/>
      <c r="M2" s="8"/>
      <c r="N2" s="8"/>
      <c r="O2" s="8"/>
      <c r="P2" s="8"/>
      <c r="Q2" s="8"/>
      <c r="R2" s="9"/>
    </row>
    <row r="3">
      <c r="A3" s="10"/>
      <c r="B3" s="11"/>
      <c r="C3" s="12"/>
      <c r="D3" s="12"/>
      <c r="E3" s="12"/>
      <c r="F3" s="12"/>
      <c r="G3" s="12"/>
      <c r="H3" s="12"/>
      <c r="I3" s="12"/>
      <c r="J3" s="12"/>
      <c r="K3" s="12"/>
      <c r="L3" s="12"/>
      <c r="M3" s="12"/>
      <c r="N3" s="12"/>
      <c r="O3" s="12"/>
      <c r="P3" s="12"/>
      <c r="Q3" s="12"/>
      <c r="R3" s="9"/>
    </row>
    <row r="4">
      <c r="A4" s="10"/>
      <c r="B4" s="13" t="s">
        <v>2</v>
      </c>
      <c r="C4" s="14"/>
      <c r="D4" s="14"/>
      <c r="E4" s="14"/>
      <c r="F4" s="14"/>
      <c r="G4" s="14"/>
      <c r="H4" s="14"/>
      <c r="I4" s="14"/>
      <c r="J4" s="14"/>
      <c r="K4" s="14"/>
      <c r="L4" s="14"/>
      <c r="M4" s="14"/>
      <c r="N4" s="14"/>
      <c r="O4" s="14"/>
      <c r="P4" s="14"/>
      <c r="Q4" s="15"/>
      <c r="R4" s="9"/>
    </row>
    <row r="5">
      <c r="A5" s="16"/>
      <c r="B5" s="17" t="s">
        <v>3</v>
      </c>
      <c r="C5" s="18"/>
      <c r="D5" s="18"/>
      <c r="E5" s="18"/>
      <c r="F5" s="17" t="s">
        <v>4</v>
      </c>
      <c r="G5" s="19"/>
      <c r="H5" s="19"/>
      <c r="I5" s="19"/>
      <c r="J5" s="19"/>
      <c r="K5" s="19"/>
      <c r="L5" s="19"/>
      <c r="M5" s="19"/>
      <c r="N5" s="19"/>
      <c r="O5" s="19"/>
      <c r="P5" s="19"/>
      <c r="Q5" s="19"/>
      <c r="R5" s="9"/>
    </row>
    <row r="6">
      <c r="A6" s="16"/>
      <c r="B6" s="20" t="s">
        <v>5</v>
      </c>
      <c r="C6" s="21"/>
      <c r="D6" s="21"/>
      <c r="E6" s="21"/>
      <c r="F6" s="20" t="s">
        <v>5</v>
      </c>
      <c r="G6" s="22"/>
      <c r="H6" s="22"/>
      <c r="I6" s="22"/>
      <c r="J6" s="22"/>
      <c r="K6" s="22"/>
      <c r="L6" s="22"/>
      <c r="M6" s="22"/>
      <c r="N6" s="22"/>
      <c r="O6" s="22"/>
      <c r="P6" s="22"/>
      <c r="Q6" s="22"/>
      <c r="R6" s="9"/>
    </row>
    <row r="7">
      <c r="A7" s="23"/>
      <c r="B7" s="24" t="s">
        <v>6</v>
      </c>
      <c r="C7" s="22"/>
      <c r="D7" s="22"/>
      <c r="E7" s="22"/>
      <c r="F7" s="24" t="s">
        <v>7</v>
      </c>
      <c r="G7" s="25"/>
      <c r="H7" s="22"/>
      <c r="I7" s="22"/>
      <c r="J7" s="22"/>
      <c r="K7" s="22"/>
      <c r="L7" s="22"/>
      <c r="M7" s="22"/>
      <c r="N7" s="22"/>
      <c r="O7" s="22"/>
      <c r="P7" s="22"/>
      <c r="Q7" s="22"/>
      <c r="R7" s="9"/>
    </row>
    <row r="8">
      <c r="A8" s="9"/>
      <c r="B8" s="22"/>
      <c r="C8" s="22"/>
      <c r="D8" s="22"/>
      <c r="E8" s="22"/>
      <c r="F8" s="22"/>
      <c r="G8" s="22"/>
      <c r="H8" s="22"/>
      <c r="I8" s="22"/>
      <c r="J8" s="22"/>
      <c r="K8" s="22"/>
      <c r="L8" s="22"/>
      <c r="M8" s="22"/>
      <c r="N8" s="22"/>
      <c r="O8" s="22"/>
      <c r="P8" s="22"/>
      <c r="Q8" s="22"/>
      <c r="R8" s="9"/>
    </row>
    <row r="9">
      <c r="A9" s="9"/>
      <c r="B9" s="22"/>
      <c r="C9" s="22"/>
      <c r="D9" s="22"/>
      <c r="E9" s="22"/>
      <c r="F9" s="22"/>
      <c r="G9" s="22"/>
      <c r="H9" s="22"/>
      <c r="I9" s="22"/>
      <c r="J9" s="22"/>
      <c r="K9" s="22"/>
      <c r="L9" s="22"/>
      <c r="M9" s="22"/>
      <c r="N9" s="22"/>
      <c r="O9" s="22"/>
      <c r="P9" s="22"/>
      <c r="Q9" s="22"/>
      <c r="R9" s="9"/>
    </row>
    <row r="10">
      <c r="A10" s="9"/>
      <c r="B10" s="22"/>
      <c r="C10" s="22"/>
      <c r="D10" s="22"/>
      <c r="E10" s="22"/>
      <c r="F10" s="22"/>
      <c r="G10" s="22"/>
      <c r="H10" s="22"/>
      <c r="I10" s="22"/>
      <c r="J10" s="22"/>
      <c r="K10" s="22"/>
      <c r="L10" s="22"/>
      <c r="M10" s="22"/>
      <c r="N10" s="22"/>
      <c r="O10" s="22"/>
      <c r="P10" s="22"/>
      <c r="Q10" s="22"/>
      <c r="R10" s="9"/>
    </row>
    <row r="11">
      <c r="A11" s="9"/>
      <c r="B11" s="22"/>
      <c r="C11" s="22"/>
      <c r="D11" s="22"/>
      <c r="E11" s="22"/>
      <c r="F11" s="22"/>
      <c r="G11" s="22"/>
      <c r="H11" s="22"/>
      <c r="I11" s="22"/>
      <c r="J11" s="22"/>
      <c r="K11" s="22"/>
      <c r="L11" s="22"/>
      <c r="M11" s="22"/>
      <c r="N11" s="22"/>
      <c r="O11" s="22"/>
      <c r="P11" s="22"/>
      <c r="Q11" s="22"/>
      <c r="R11" s="9"/>
    </row>
    <row r="12">
      <c r="A12" s="9"/>
      <c r="B12" s="22"/>
      <c r="C12" s="22"/>
      <c r="D12" s="22"/>
      <c r="E12" s="22"/>
      <c r="F12" s="22"/>
      <c r="G12" s="22"/>
      <c r="H12" s="22"/>
      <c r="I12" s="22"/>
      <c r="J12" s="22"/>
      <c r="K12" s="22"/>
      <c r="L12" s="22"/>
      <c r="M12" s="22"/>
      <c r="N12" s="22"/>
      <c r="O12" s="22"/>
      <c r="P12" s="22"/>
      <c r="Q12" s="22"/>
      <c r="R12" s="9"/>
    </row>
    <row r="13">
      <c r="A13" s="9"/>
      <c r="B13" s="22"/>
      <c r="C13" s="22"/>
      <c r="D13" s="22"/>
      <c r="E13" s="22"/>
      <c r="F13" s="22"/>
      <c r="G13" s="22"/>
      <c r="H13" s="22"/>
      <c r="I13" s="22"/>
      <c r="J13" s="22"/>
      <c r="K13" s="22"/>
      <c r="L13" s="22"/>
      <c r="M13" s="22"/>
      <c r="N13" s="22"/>
      <c r="O13" s="22"/>
      <c r="P13" s="22"/>
      <c r="Q13" s="22"/>
      <c r="R13" s="9"/>
    </row>
    <row r="14">
      <c r="A14" s="9"/>
      <c r="B14" s="22"/>
      <c r="C14" s="22"/>
      <c r="D14" s="22"/>
      <c r="E14" s="22"/>
      <c r="F14" s="22"/>
      <c r="G14" s="22"/>
      <c r="H14" s="22"/>
      <c r="I14" s="22"/>
      <c r="J14" s="22"/>
      <c r="K14" s="22"/>
      <c r="L14" s="22"/>
      <c r="M14" s="22"/>
      <c r="N14" s="22"/>
      <c r="O14" s="22"/>
      <c r="P14" s="22"/>
      <c r="Q14" s="22"/>
      <c r="R14" s="9"/>
    </row>
    <row r="15">
      <c r="A15" s="9"/>
      <c r="B15" s="22"/>
      <c r="C15" s="22"/>
      <c r="D15" s="22"/>
      <c r="E15" s="22"/>
      <c r="F15" s="22"/>
      <c r="G15" s="22"/>
      <c r="H15" s="22"/>
      <c r="I15" s="22"/>
      <c r="J15" s="22"/>
      <c r="K15" s="22"/>
      <c r="L15" s="22"/>
      <c r="M15" s="22"/>
      <c r="N15" s="22"/>
      <c r="O15" s="22"/>
      <c r="P15" s="22"/>
      <c r="Q15" s="22"/>
      <c r="R15" s="9"/>
    </row>
    <row r="16">
      <c r="A16" s="9"/>
      <c r="B16" s="22"/>
      <c r="C16" s="22"/>
      <c r="D16" s="22"/>
      <c r="E16" s="22"/>
      <c r="F16" s="22"/>
      <c r="G16" s="22"/>
      <c r="H16" s="22"/>
      <c r="I16" s="22"/>
      <c r="J16" s="22"/>
      <c r="K16" s="22"/>
      <c r="L16" s="22"/>
      <c r="M16" s="22"/>
      <c r="N16" s="22"/>
      <c r="O16" s="22"/>
      <c r="P16" s="22"/>
      <c r="Q16" s="22"/>
      <c r="R16" s="9"/>
    </row>
    <row r="17">
      <c r="A17" s="9"/>
      <c r="B17" s="22"/>
      <c r="C17" s="22"/>
      <c r="D17" s="22"/>
      <c r="E17" s="22"/>
      <c r="F17" s="22"/>
      <c r="G17" s="22"/>
      <c r="H17" s="22"/>
      <c r="I17" s="22"/>
      <c r="J17" s="22"/>
      <c r="K17" s="22"/>
      <c r="L17" s="22"/>
      <c r="M17" s="22"/>
      <c r="N17" s="22"/>
      <c r="O17" s="22"/>
      <c r="P17" s="22"/>
      <c r="Q17" s="22"/>
      <c r="R17" s="9"/>
    </row>
    <row r="18">
      <c r="A18" s="9"/>
      <c r="B18" s="22"/>
      <c r="C18" s="22"/>
      <c r="D18" s="22"/>
      <c r="E18" s="22"/>
      <c r="F18" s="22"/>
      <c r="G18" s="22"/>
      <c r="H18" s="22"/>
      <c r="I18" s="22"/>
      <c r="J18" s="22"/>
      <c r="K18" s="22"/>
      <c r="L18" s="22"/>
      <c r="M18" s="22"/>
      <c r="N18" s="22"/>
      <c r="O18" s="22"/>
      <c r="P18" s="22"/>
      <c r="Q18" s="22"/>
      <c r="R18" s="9"/>
    </row>
    <row r="19">
      <c r="A19" s="9"/>
      <c r="B19" s="22"/>
      <c r="C19" s="22"/>
      <c r="D19" s="22"/>
      <c r="E19" s="22"/>
      <c r="F19" s="22"/>
      <c r="G19" s="22"/>
      <c r="H19" s="22"/>
      <c r="I19" s="22"/>
      <c r="J19" s="22"/>
      <c r="K19" s="22"/>
      <c r="L19" s="22"/>
      <c r="M19" s="22"/>
      <c r="N19" s="22"/>
      <c r="O19" s="22"/>
      <c r="P19" s="22"/>
      <c r="Q19" s="22"/>
      <c r="R19" s="9"/>
    </row>
    <row r="20">
      <c r="A20" s="9"/>
      <c r="B20" s="22"/>
      <c r="C20" s="22"/>
      <c r="D20" s="22"/>
      <c r="E20" s="22"/>
      <c r="F20" s="22"/>
      <c r="G20" s="22"/>
      <c r="H20" s="22"/>
      <c r="I20" s="22"/>
      <c r="J20" s="22"/>
      <c r="K20" s="22"/>
      <c r="L20" s="22"/>
      <c r="M20" s="22"/>
      <c r="N20" s="22"/>
      <c r="O20" s="22"/>
      <c r="P20" s="22"/>
      <c r="Q20" s="22"/>
      <c r="R20" s="9"/>
    </row>
    <row r="21">
      <c r="A21" s="9"/>
      <c r="B21" s="22"/>
      <c r="C21" s="22"/>
      <c r="D21" s="22"/>
      <c r="E21" s="22"/>
      <c r="F21" s="22"/>
      <c r="G21" s="22"/>
      <c r="H21" s="22"/>
      <c r="I21" s="22"/>
      <c r="J21" s="22"/>
      <c r="K21" s="22"/>
      <c r="L21" s="22"/>
      <c r="M21" s="22"/>
      <c r="N21" s="22"/>
      <c r="O21" s="22"/>
      <c r="P21" s="22"/>
      <c r="Q21" s="22"/>
      <c r="R21" s="9"/>
    </row>
    <row r="22">
      <c r="A22" s="9"/>
      <c r="B22" s="22"/>
      <c r="C22" s="22"/>
      <c r="D22" s="22"/>
      <c r="E22" s="22"/>
      <c r="F22" s="22"/>
      <c r="G22" s="22"/>
      <c r="H22" s="22"/>
      <c r="I22" s="22"/>
      <c r="J22" s="22"/>
      <c r="K22" s="22"/>
      <c r="L22" s="22"/>
      <c r="M22" s="22"/>
      <c r="N22" s="22"/>
      <c r="O22" s="22"/>
      <c r="P22" s="22"/>
      <c r="Q22" s="22"/>
      <c r="R22" s="9"/>
    </row>
    <row r="23">
      <c r="A23" s="9"/>
      <c r="B23" s="22"/>
      <c r="C23" s="22"/>
      <c r="D23" s="22"/>
      <c r="E23" s="22"/>
      <c r="F23" s="22"/>
      <c r="G23" s="22"/>
      <c r="H23" s="22"/>
      <c r="I23" s="22"/>
      <c r="J23" s="22"/>
      <c r="K23" s="22"/>
      <c r="L23" s="22"/>
      <c r="M23" s="22"/>
      <c r="N23" s="22"/>
      <c r="O23" s="22"/>
      <c r="P23" s="22"/>
      <c r="Q23" s="22"/>
      <c r="R23" s="9"/>
    </row>
    <row r="24">
      <c r="A24" s="9"/>
      <c r="B24" s="22"/>
      <c r="C24" s="22"/>
      <c r="D24" s="22"/>
      <c r="E24" s="22"/>
      <c r="F24" s="22"/>
      <c r="G24" s="22"/>
      <c r="H24" s="22"/>
      <c r="I24" s="22"/>
      <c r="J24" s="22"/>
      <c r="K24" s="22"/>
      <c r="L24" s="22"/>
      <c r="M24" s="22"/>
      <c r="N24" s="22"/>
      <c r="O24" s="22"/>
      <c r="P24" s="22"/>
      <c r="Q24" s="22"/>
      <c r="R24" s="9"/>
    </row>
    <row r="25">
      <c r="A25" s="9"/>
      <c r="B25" s="22"/>
      <c r="C25" s="22"/>
      <c r="D25" s="22"/>
      <c r="E25" s="22"/>
      <c r="F25" s="22"/>
      <c r="G25" s="22"/>
      <c r="H25" s="22"/>
      <c r="I25" s="22"/>
      <c r="J25" s="22"/>
      <c r="K25" s="22"/>
      <c r="L25" s="22"/>
      <c r="M25" s="22"/>
      <c r="N25" s="22"/>
      <c r="O25" s="22"/>
      <c r="P25" s="22"/>
      <c r="Q25" s="22"/>
      <c r="R25" s="9"/>
    </row>
    <row r="26">
      <c r="A26" s="9"/>
      <c r="B26" s="22"/>
      <c r="C26" s="22"/>
      <c r="D26" s="22"/>
      <c r="E26" s="22"/>
      <c r="F26" s="22"/>
      <c r="G26" s="22"/>
      <c r="H26" s="22"/>
      <c r="I26" s="22"/>
      <c r="J26" s="22"/>
      <c r="K26" s="22"/>
      <c r="L26" s="22"/>
      <c r="M26" s="22"/>
      <c r="N26" s="22"/>
      <c r="O26" s="22"/>
      <c r="P26" s="22"/>
      <c r="Q26" s="22"/>
      <c r="R26" s="9"/>
    </row>
    <row r="27">
      <c r="A27" s="9"/>
      <c r="B27" s="22"/>
      <c r="C27" s="22"/>
      <c r="D27" s="22"/>
      <c r="E27" s="22"/>
      <c r="F27" s="22"/>
      <c r="G27" s="22"/>
      <c r="H27" s="22"/>
      <c r="I27" s="22"/>
      <c r="J27" s="22"/>
      <c r="K27" s="22"/>
      <c r="L27" s="22"/>
      <c r="M27" s="22"/>
      <c r="N27" s="22"/>
      <c r="O27" s="22"/>
      <c r="P27" s="22"/>
      <c r="Q27" s="22"/>
      <c r="R27" s="9"/>
    </row>
    <row r="28">
      <c r="A28" s="9"/>
      <c r="B28" s="22"/>
      <c r="C28" s="22"/>
      <c r="D28" s="22"/>
      <c r="E28" s="22"/>
      <c r="F28" s="22"/>
      <c r="G28" s="22"/>
      <c r="H28" s="22"/>
      <c r="I28" s="22"/>
      <c r="J28" s="22"/>
      <c r="K28" s="22"/>
      <c r="L28" s="22"/>
      <c r="M28" s="22"/>
      <c r="N28" s="22"/>
      <c r="O28" s="22"/>
      <c r="P28" s="22"/>
      <c r="Q28" s="22"/>
      <c r="R28" s="9"/>
    </row>
    <row r="29">
      <c r="A29" s="9"/>
      <c r="B29" s="22"/>
      <c r="C29" s="22"/>
      <c r="D29" s="22"/>
      <c r="E29" s="22"/>
      <c r="F29" s="22"/>
      <c r="G29" s="22"/>
      <c r="H29" s="22"/>
      <c r="I29" s="22"/>
      <c r="J29" s="22"/>
      <c r="K29" s="22"/>
      <c r="L29" s="22"/>
      <c r="M29" s="22"/>
      <c r="N29" s="22"/>
      <c r="O29" s="22"/>
      <c r="P29" s="22"/>
      <c r="Q29" s="22"/>
      <c r="R29" s="9"/>
    </row>
    <row r="30">
      <c r="A30" s="9"/>
      <c r="B30" s="22"/>
      <c r="C30" s="22"/>
      <c r="D30" s="22"/>
      <c r="E30" s="22"/>
      <c r="F30" s="22"/>
      <c r="G30" s="22"/>
      <c r="H30" s="22"/>
      <c r="I30" s="22"/>
      <c r="J30" s="22"/>
      <c r="K30" s="22"/>
      <c r="L30" s="22"/>
      <c r="M30" s="22"/>
      <c r="N30" s="22"/>
      <c r="O30" s="22"/>
      <c r="P30" s="22"/>
      <c r="Q30" s="22"/>
      <c r="R30" s="9"/>
    </row>
    <row r="31">
      <c r="A31" s="9"/>
      <c r="B31" s="22"/>
      <c r="C31" s="22"/>
      <c r="D31" s="22"/>
      <c r="E31" s="22"/>
      <c r="F31" s="22"/>
      <c r="G31" s="22"/>
      <c r="H31" s="22"/>
      <c r="I31" s="22"/>
      <c r="J31" s="22"/>
      <c r="K31" s="22"/>
      <c r="L31" s="22"/>
      <c r="M31" s="22"/>
      <c r="N31" s="22"/>
      <c r="O31" s="22"/>
      <c r="P31" s="22"/>
      <c r="Q31" s="22"/>
      <c r="R31" s="9"/>
    </row>
    <row r="32">
      <c r="A32" s="9"/>
      <c r="B32" s="8"/>
      <c r="C32" s="8"/>
      <c r="D32" s="8"/>
      <c r="E32" s="8"/>
      <c r="F32" s="8"/>
      <c r="G32" s="8"/>
      <c r="H32" s="8"/>
      <c r="I32" s="8"/>
      <c r="J32" s="8"/>
      <c r="K32" s="8"/>
      <c r="L32" s="8"/>
      <c r="M32" s="8"/>
      <c r="N32" s="8"/>
      <c r="O32" s="8"/>
      <c r="P32" s="8"/>
      <c r="Q32" s="8"/>
      <c r="R32" s="9"/>
    </row>
    <row r="33">
      <c r="A33" s="10"/>
      <c r="B33" s="13" t="s">
        <v>8</v>
      </c>
      <c r="C33" s="14"/>
      <c r="D33" s="14"/>
      <c r="E33" s="14"/>
      <c r="F33" s="14"/>
      <c r="G33" s="14"/>
      <c r="H33" s="14"/>
      <c r="I33" s="14"/>
      <c r="J33" s="14"/>
      <c r="K33" s="14"/>
      <c r="L33" s="14"/>
      <c r="M33" s="14"/>
      <c r="N33" s="14"/>
      <c r="O33" s="14"/>
      <c r="P33" s="14"/>
      <c r="Q33" s="15"/>
      <c r="R33" s="9"/>
    </row>
    <row r="34">
      <c r="A34" s="26"/>
      <c r="B34" s="27" t="s">
        <v>9</v>
      </c>
      <c r="C34" s="19"/>
      <c r="D34" s="19"/>
      <c r="E34" s="19"/>
      <c r="F34" s="19"/>
      <c r="G34" s="19"/>
      <c r="H34" s="19"/>
      <c r="I34" s="19"/>
      <c r="J34" s="19"/>
      <c r="K34" s="19"/>
      <c r="L34" s="19"/>
      <c r="M34" s="19"/>
      <c r="N34" s="19"/>
      <c r="O34" s="19"/>
      <c r="P34" s="19"/>
      <c r="Q34" s="19"/>
      <c r="R34" s="9"/>
    </row>
    <row r="35">
      <c r="A35" s="9"/>
      <c r="B35" s="22"/>
      <c r="C35" s="22"/>
      <c r="D35" s="22"/>
      <c r="E35" s="22"/>
      <c r="F35" s="22"/>
      <c r="G35" s="22"/>
      <c r="H35" s="22"/>
      <c r="I35" s="22"/>
      <c r="J35" s="22"/>
      <c r="K35" s="22"/>
      <c r="L35" s="22"/>
      <c r="M35" s="22"/>
      <c r="N35" s="22"/>
      <c r="O35" s="22"/>
      <c r="P35" s="22"/>
      <c r="Q35" s="22"/>
      <c r="R35" s="9"/>
    </row>
    <row r="36">
      <c r="A36" s="9"/>
      <c r="B36" s="22"/>
      <c r="C36" s="22"/>
      <c r="D36" s="22"/>
      <c r="E36" s="22"/>
      <c r="F36" s="22"/>
      <c r="G36" s="22"/>
      <c r="H36" s="22"/>
      <c r="I36" s="22"/>
      <c r="J36" s="22"/>
      <c r="K36" s="22"/>
      <c r="L36" s="22"/>
      <c r="M36" s="22"/>
      <c r="N36" s="22"/>
      <c r="O36" s="22"/>
      <c r="P36" s="22"/>
      <c r="Q36" s="22"/>
      <c r="R36" s="9"/>
    </row>
    <row r="37">
      <c r="A37" s="9"/>
      <c r="B37" s="22"/>
      <c r="C37" s="22"/>
      <c r="D37" s="22"/>
      <c r="E37" s="22"/>
      <c r="F37" s="22"/>
      <c r="G37" s="22"/>
      <c r="H37" s="22"/>
      <c r="I37" s="22"/>
      <c r="J37" s="22"/>
      <c r="K37" s="22"/>
      <c r="L37" s="22"/>
      <c r="M37" s="22"/>
      <c r="N37" s="22"/>
      <c r="O37" s="22"/>
      <c r="P37" s="22"/>
      <c r="Q37" s="22"/>
      <c r="R37" s="9"/>
    </row>
    <row r="38">
      <c r="A38" s="28"/>
      <c r="B38" s="29" t="s">
        <v>10</v>
      </c>
      <c r="C38" s="22"/>
      <c r="D38" s="22"/>
      <c r="E38" s="22"/>
      <c r="F38" s="22"/>
      <c r="G38" s="22"/>
      <c r="H38" s="22"/>
      <c r="I38" s="22"/>
      <c r="J38" s="22"/>
      <c r="K38" s="22"/>
      <c r="L38" s="22"/>
      <c r="M38" s="22"/>
      <c r="N38" s="22"/>
      <c r="O38" s="22"/>
      <c r="P38" s="22"/>
      <c r="Q38" s="22"/>
      <c r="R38" s="9"/>
    </row>
    <row r="39">
      <c r="A39" s="30"/>
      <c r="B39" s="31" t="s">
        <v>11</v>
      </c>
      <c r="C39" s="22"/>
      <c r="D39" s="22"/>
      <c r="E39" s="22"/>
      <c r="F39" s="22"/>
      <c r="G39" s="22"/>
      <c r="H39" s="22"/>
      <c r="I39" s="22"/>
      <c r="J39" s="22"/>
      <c r="K39" s="22"/>
      <c r="L39" s="22"/>
      <c r="M39" s="22"/>
      <c r="N39" s="22"/>
      <c r="O39" s="22"/>
      <c r="P39" s="22"/>
      <c r="Q39" s="22"/>
      <c r="R39" s="9"/>
    </row>
    <row r="40">
      <c r="A40" s="30"/>
      <c r="B40" s="31" t="s">
        <v>12</v>
      </c>
      <c r="C40" s="22"/>
      <c r="D40" s="22"/>
      <c r="E40" s="22"/>
      <c r="F40" s="22"/>
      <c r="G40" s="22"/>
      <c r="H40" s="22"/>
      <c r="I40" s="22"/>
      <c r="J40" s="22"/>
      <c r="K40" s="22"/>
      <c r="L40" s="22"/>
      <c r="M40" s="22"/>
      <c r="N40" s="22"/>
      <c r="O40" s="22"/>
      <c r="P40" s="22"/>
      <c r="Q40" s="22"/>
      <c r="R40" s="9"/>
    </row>
    <row r="41">
      <c r="A41" s="30"/>
      <c r="B41" s="31" t="s">
        <v>13</v>
      </c>
      <c r="C41" s="22"/>
      <c r="D41" s="22"/>
      <c r="E41" s="22"/>
      <c r="F41" s="22"/>
      <c r="G41" s="22"/>
      <c r="H41" s="22"/>
      <c r="I41" s="22"/>
      <c r="J41" s="22"/>
      <c r="K41" s="22"/>
      <c r="L41" s="22"/>
      <c r="M41" s="22"/>
      <c r="N41" s="22"/>
      <c r="O41" s="22"/>
      <c r="P41" s="22"/>
      <c r="Q41" s="22"/>
      <c r="R41" s="9"/>
    </row>
    <row r="42">
      <c r="A42" s="9"/>
      <c r="B42" s="22"/>
      <c r="C42" s="22"/>
      <c r="D42" s="22"/>
      <c r="E42" s="22"/>
      <c r="F42" s="22"/>
      <c r="G42" s="22"/>
      <c r="H42" s="22"/>
      <c r="I42" s="22"/>
      <c r="J42" s="22"/>
      <c r="K42" s="22"/>
      <c r="L42" s="22"/>
      <c r="M42" s="22"/>
      <c r="N42" s="22"/>
      <c r="O42" s="22"/>
      <c r="P42" s="22"/>
      <c r="Q42" s="22"/>
      <c r="R42" s="9"/>
    </row>
    <row r="43">
      <c r="A43" s="9"/>
      <c r="B43" s="22"/>
      <c r="C43" s="22"/>
      <c r="D43" s="22"/>
      <c r="E43" s="22"/>
      <c r="F43" s="22"/>
      <c r="G43" s="22"/>
      <c r="H43" s="22"/>
      <c r="I43" s="22"/>
      <c r="J43" s="22"/>
      <c r="K43" s="22"/>
      <c r="L43" s="22"/>
      <c r="M43" s="22"/>
      <c r="N43" s="22"/>
      <c r="O43" s="22"/>
      <c r="P43" s="22"/>
      <c r="Q43" s="22"/>
      <c r="R43" s="9"/>
    </row>
    <row r="44">
      <c r="A44" s="9"/>
      <c r="B44" s="22"/>
      <c r="C44" s="22"/>
      <c r="D44" s="22"/>
      <c r="E44" s="22"/>
      <c r="F44" s="22"/>
      <c r="G44" s="22"/>
      <c r="H44" s="22"/>
      <c r="I44" s="22"/>
      <c r="J44" s="22"/>
      <c r="K44" s="22"/>
      <c r="L44" s="22"/>
      <c r="M44" s="22"/>
      <c r="N44" s="22"/>
      <c r="O44" s="22"/>
      <c r="P44" s="22"/>
      <c r="Q44" s="22"/>
      <c r="R44" s="9"/>
    </row>
    <row r="45">
      <c r="A45" s="9"/>
      <c r="B45" s="22"/>
      <c r="C45" s="22"/>
      <c r="D45" s="22"/>
      <c r="E45" s="22"/>
      <c r="F45" s="22"/>
      <c r="G45" s="22"/>
      <c r="H45" s="22"/>
      <c r="I45" s="22"/>
      <c r="J45" s="22"/>
      <c r="K45" s="22"/>
      <c r="L45" s="22"/>
      <c r="M45" s="22"/>
      <c r="N45" s="22"/>
      <c r="O45" s="22"/>
      <c r="P45" s="22"/>
      <c r="Q45" s="22"/>
      <c r="R45" s="9"/>
    </row>
    <row r="46">
      <c r="A46" s="9"/>
      <c r="B46" s="22"/>
      <c r="C46" s="22"/>
      <c r="D46" s="22"/>
      <c r="E46" s="22"/>
      <c r="F46" s="22"/>
      <c r="G46" s="22"/>
      <c r="H46" s="22"/>
      <c r="I46" s="22"/>
      <c r="J46" s="22"/>
      <c r="K46" s="22"/>
      <c r="L46" s="22"/>
      <c r="M46" s="22"/>
      <c r="N46" s="22"/>
      <c r="O46" s="22"/>
      <c r="P46" s="22"/>
      <c r="Q46" s="22"/>
      <c r="R46" s="9"/>
    </row>
    <row r="47">
      <c r="A47" s="9"/>
      <c r="B47" s="22"/>
      <c r="C47" s="22"/>
      <c r="D47" s="22"/>
      <c r="E47" s="22"/>
      <c r="F47" s="22"/>
      <c r="G47" s="22"/>
      <c r="H47" s="22"/>
      <c r="I47" s="22"/>
      <c r="J47" s="22"/>
      <c r="K47" s="22"/>
      <c r="L47" s="22"/>
      <c r="M47" s="22"/>
      <c r="N47" s="22"/>
      <c r="O47" s="22"/>
      <c r="P47" s="22"/>
      <c r="Q47" s="22"/>
      <c r="R47" s="9"/>
    </row>
    <row r="48">
      <c r="A48" s="9"/>
      <c r="B48" s="22"/>
      <c r="C48" s="22"/>
      <c r="D48" s="22"/>
      <c r="E48" s="22"/>
      <c r="F48" s="22"/>
      <c r="G48" s="22"/>
      <c r="H48" s="22"/>
      <c r="I48" s="22"/>
      <c r="J48" s="22"/>
      <c r="K48" s="22"/>
      <c r="L48" s="22"/>
      <c r="M48" s="22"/>
      <c r="N48" s="22"/>
      <c r="O48" s="22"/>
      <c r="P48" s="22"/>
      <c r="Q48" s="22"/>
      <c r="R48" s="9"/>
    </row>
    <row r="49">
      <c r="A49" s="9"/>
      <c r="B49" s="22"/>
      <c r="C49" s="22"/>
      <c r="D49" s="22"/>
      <c r="E49" s="22"/>
      <c r="F49" s="22"/>
      <c r="G49" s="22"/>
      <c r="H49" s="22"/>
      <c r="I49" s="22"/>
      <c r="J49" s="22"/>
      <c r="K49" s="22"/>
      <c r="L49" s="22"/>
      <c r="M49" s="22"/>
      <c r="N49" s="22"/>
      <c r="O49" s="22"/>
      <c r="P49" s="22"/>
      <c r="Q49" s="22"/>
      <c r="R49" s="9"/>
    </row>
    <row r="50">
      <c r="A50" s="9"/>
      <c r="B50" s="22"/>
      <c r="C50" s="22"/>
      <c r="D50" s="22"/>
      <c r="E50" s="22"/>
      <c r="F50" s="22"/>
      <c r="G50" s="22"/>
      <c r="H50" s="22"/>
      <c r="I50" s="22"/>
      <c r="J50" s="22"/>
      <c r="K50" s="22"/>
      <c r="L50" s="22"/>
      <c r="M50" s="22"/>
      <c r="N50" s="22"/>
      <c r="O50" s="22"/>
      <c r="P50" s="22"/>
      <c r="Q50" s="22"/>
      <c r="R50" s="9"/>
    </row>
    <row r="51">
      <c r="A51" s="9"/>
      <c r="B51" s="22"/>
      <c r="C51" s="22"/>
      <c r="D51" s="22"/>
      <c r="E51" s="22"/>
      <c r="F51" s="22"/>
      <c r="G51" s="22"/>
      <c r="H51" s="22"/>
      <c r="I51" s="22"/>
      <c r="J51" s="22"/>
      <c r="K51" s="22"/>
      <c r="L51" s="22"/>
      <c r="M51" s="22"/>
      <c r="N51" s="22"/>
      <c r="O51" s="22"/>
      <c r="P51" s="22"/>
      <c r="Q51" s="22"/>
      <c r="R51" s="9"/>
    </row>
    <row r="52">
      <c r="A52" s="9"/>
      <c r="B52" s="22"/>
      <c r="C52" s="22"/>
      <c r="D52" s="22"/>
      <c r="E52" s="22"/>
      <c r="F52" s="22"/>
      <c r="G52" s="22"/>
      <c r="H52" s="22"/>
      <c r="I52" s="22"/>
      <c r="J52" s="22"/>
      <c r="K52" s="22"/>
      <c r="L52" s="22"/>
      <c r="M52" s="22"/>
      <c r="N52" s="22"/>
      <c r="O52" s="22"/>
      <c r="P52" s="22"/>
      <c r="Q52" s="22"/>
      <c r="R52" s="9"/>
    </row>
    <row r="53">
      <c r="A53" s="28"/>
      <c r="B53" s="29" t="s">
        <v>14</v>
      </c>
      <c r="C53" s="22"/>
      <c r="D53" s="22"/>
      <c r="E53" s="22"/>
      <c r="F53" s="22"/>
      <c r="G53" s="22"/>
      <c r="H53" s="22"/>
      <c r="I53" s="22"/>
      <c r="J53" s="22"/>
      <c r="K53" s="22"/>
      <c r="L53" s="22"/>
      <c r="M53" s="22"/>
      <c r="N53" s="22"/>
      <c r="O53" s="22"/>
      <c r="P53" s="22"/>
      <c r="Q53" s="22"/>
      <c r="R53" s="9"/>
    </row>
    <row r="54">
      <c r="A54" s="30"/>
      <c r="B54" s="31" t="s">
        <v>15</v>
      </c>
      <c r="C54" s="22"/>
      <c r="D54" s="22"/>
      <c r="E54" s="22"/>
      <c r="F54" s="22"/>
      <c r="G54" s="22"/>
      <c r="H54" s="22"/>
      <c r="I54" s="22"/>
      <c r="J54" s="22"/>
      <c r="K54" s="22"/>
      <c r="L54" s="22"/>
      <c r="M54" s="22"/>
      <c r="N54" s="22"/>
      <c r="O54" s="22"/>
      <c r="P54" s="22"/>
      <c r="Q54" s="22"/>
      <c r="R54" s="9"/>
    </row>
    <row r="55">
      <c r="A55" s="30"/>
      <c r="B55" s="31" t="s">
        <v>16</v>
      </c>
      <c r="C55" s="22"/>
      <c r="D55" s="22"/>
      <c r="E55" s="22"/>
      <c r="F55" s="22"/>
      <c r="G55" s="22"/>
      <c r="H55" s="22"/>
      <c r="I55" s="22"/>
      <c r="J55" s="22"/>
      <c r="K55" s="22"/>
      <c r="L55" s="22"/>
      <c r="M55" s="22"/>
      <c r="N55" s="22"/>
      <c r="O55" s="22"/>
      <c r="P55" s="22"/>
      <c r="Q55" s="22"/>
      <c r="R55" s="9"/>
    </row>
    <row r="56">
      <c r="A56" s="30"/>
      <c r="B56" s="31" t="s">
        <v>17</v>
      </c>
      <c r="C56" s="22"/>
      <c r="D56" s="22"/>
      <c r="E56" s="22"/>
      <c r="F56" s="22"/>
      <c r="G56" s="22"/>
      <c r="H56" s="22"/>
      <c r="I56" s="22"/>
      <c r="J56" s="22"/>
      <c r="K56" s="22"/>
      <c r="L56" s="22"/>
      <c r="M56" s="22"/>
      <c r="N56" s="22"/>
      <c r="O56" s="22"/>
      <c r="P56" s="22"/>
      <c r="Q56" s="22"/>
      <c r="R56" s="9"/>
    </row>
    <row r="57">
      <c r="A57" s="30"/>
      <c r="B57" s="31" t="s">
        <v>18</v>
      </c>
      <c r="C57" s="22"/>
      <c r="D57" s="22"/>
      <c r="E57" s="22"/>
      <c r="F57" s="22"/>
      <c r="G57" s="22"/>
      <c r="H57" s="22"/>
      <c r="I57" s="22"/>
      <c r="J57" s="22"/>
      <c r="K57" s="22"/>
      <c r="L57" s="22"/>
      <c r="M57" s="22"/>
      <c r="N57" s="22"/>
      <c r="O57" s="22"/>
      <c r="P57" s="22"/>
      <c r="Q57" s="22"/>
      <c r="R57" s="9"/>
    </row>
    <row r="58">
      <c r="A58" s="9"/>
      <c r="B58" s="22"/>
      <c r="C58" s="22"/>
      <c r="D58" s="22"/>
      <c r="E58" s="22"/>
      <c r="F58" s="22"/>
      <c r="G58" s="22"/>
      <c r="H58" s="22"/>
      <c r="I58" s="22"/>
      <c r="J58" s="22"/>
      <c r="K58" s="22"/>
      <c r="L58" s="22"/>
      <c r="M58" s="22"/>
      <c r="N58" s="22"/>
      <c r="O58" s="22"/>
      <c r="P58" s="22"/>
      <c r="Q58" s="22"/>
      <c r="R58" s="9"/>
    </row>
    <row r="59">
      <c r="A59" s="9"/>
      <c r="B59" s="22"/>
      <c r="C59" s="22"/>
      <c r="D59" s="22"/>
      <c r="E59" s="22"/>
      <c r="F59" s="22"/>
      <c r="G59" s="22"/>
      <c r="H59" s="22"/>
      <c r="I59" s="22"/>
      <c r="J59" s="22"/>
      <c r="K59" s="22"/>
      <c r="L59" s="22"/>
      <c r="M59" s="22"/>
      <c r="N59" s="22"/>
      <c r="O59" s="22"/>
      <c r="P59" s="22"/>
      <c r="Q59" s="22"/>
      <c r="R59" s="9"/>
    </row>
    <row r="60">
      <c r="A60" s="9"/>
      <c r="B60" s="22"/>
      <c r="C60" s="22"/>
      <c r="D60" s="22"/>
      <c r="E60" s="22"/>
      <c r="F60" s="22"/>
      <c r="G60" s="22"/>
      <c r="H60" s="22"/>
      <c r="I60" s="22"/>
      <c r="J60" s="31" t="s">
        <v>19</v>
      </c>
      <c r="K60" s="22"/>
      <c r="L60" s="22"/>
      <c r="M60" s="22"/>
      <c r="N60" s="22"/>
      <c r="O60" s="22"/>
      <c r="P60" s="22"/>
      <c r="Q60" s="22"/>
      <c r="R60" s="9"/>
    </row>
    <row r="61">
      <c r="A61" s="9"/>
      <c r="B61" s="22"/>
      <c r="C61" s="22"/>
      <c r="D61" s="22"/>
      <c r="E61" s="22"/>
      <c r="F61" s="22"/>
      <c r="G61" s="22"/>
      <c r="H61" s="22"/>
      <c r="I61" s="22"/>
      <c r="K61" s="22"/>
      <c r="L61" s="22"/>
      <c r="M61" s="22"/>
      <c r="N61" s="22"/>
      <c r="O61" s="22"/>
      <c r="P61" s="22"/>
      <c r="Q61" s="22"/>
      <c r="R61" s="9"/>
    </row>
    <row r="62">
      <c r="A62" s="9"/>
      <c r="B62" s="22"/>
      <c r="C62" s="22"/>
      <c r="D62" s="22"/>
      <c r="E62" s="22"/>
      <c r="F62" s="22"/>
      <c r="G62" s="22"/>
      <c r="H62" s="22"/>
      <c r="I62" s="22"/>
      <c r="J62" s="22"/>
      <c r="K62" s="22"/>
      <c r="L62" s="22"/>
      <c r="M62" s="22"/>
      <c r="N62" s="22"/>
      <c r="O62" s="22"/>
      <c r="P62" s="22"/>
      <c r="Q62" s="22"/>
      <c r="R62" s="9"/>
    </row>
    <row r="63">
      <c r="A63" s="9"/>
      <c r="B63" s="22"/>
      <c r="C63" s="22"/>
      <c r="D63" s="22"/>
      <c r="E63" s="22"/>
      <c r="F63" s="22"/>
      <c r="G63" s="22"/>
      <c r="H63" s="22"/>
      <c r="I63" s="22"/>
      <c r="J63" s="22"/>
      <c r="K63" s="22"/>
      <c r="L63" s="22"/>
      <c r="M63" s="22"/>
      <c r="N63" s="22"/>
      <c r="O63" s="22"/>
      <c r="P63" s="22"/>
      <c r="Q63" s="22"/>
      <c r="R63" s="9"/>
    </row>
    <row r="64">
      <c r="A64" s="9"/>
      <c r="B64" s="22"/>
      <c r="C64" s="22"/>
      <c r="D64" s="22"/>
      <c r="E64" s="22"/>
      <c r="F64" s="22"/>
      <c r="G64" s="22"/>
      <c r="H64" s="22"/>
      <c r="I64" s="22"/>
      <c r="J64" s="22"/>
      <c r="K64" s="22"/>
      <c r="L64" s="22"/>
      <c r="M64" s="22"/>
      <c r="N64" s="22"/>
      <c r="O64" s="22"/>
      <c r="P64" s="22"/>
      <c r="Q64" s="22"/>
      <c r="R64" s="9"/>
    </row>
    <row r="65">
      <c r="A65" s="9"/>
      <c r="B65" s="22"/>
      <c r="C65" s="22"/>
      <c r="D65" s="22"/>
      <c r="E65" s="22"/>
      <c r="F65" s="22"/>
      <c r="G65" s="22"/>
      <c r="H65" s="22"/>
      <c r="I65" s="22"/>
      <c r="J65" s="31" t="s">
        <v>20</v>
      </c>
      <c r="K65" s="22"/>
      <c r="L65" s="22"/>
      <c r="M65" s="22"/>
      <c r="N65" s="22"/>
      <c r="O65" s="22"/>
      <c r="P65" s="22"/>
      <c r="Q65" s="22"/>
      <c r="R65" s="9"/>
    </row>
    <row r="66">
      <c r="A66" s="9"/>
      <c r="B66" s="22"/>
      <c r="C66" s="22"/>
      <c r="D66" s="22"/>
      <c r="E66" s="22"/>
      <c r="F66" s="22"/>
      <c r="G66" s="22"/>
      <c r="H66" s="22"/>
      <c r="I66" s="22"/>
      <c r="J66" s="31"/>
      <c r="K66" s="22"/>
      <c r="L66" s="22"/>
      <c r="M66" s="22"/>
      <c r="N66" s="22"/>
      <c r="O66" s="22"/>
      <c r="P66" s="22"/>
      <c r="Q66" s="22"/>
      <c r="R66" s="9"/>
    </row>
    <row r="67">
      <c r="A67" s="9"/>
      <c r="B67" s="22"/>
      <c r="C67" s="22"/>
      <c r="D67" s="22"/>
      <c r="E67" s="22"/>
      <c r="F67" s="22"/>
      <c r="G67" s="22"/>
      <c r="H67" s="22"/>
      <c r="I67" s="22"/>
      <c r="J67" s="22"/>
      <c r="K67" s="22"/>
      <c r="L67" s="22"/>
      <c r="M67" s="22"/>
      <c r="N67" s="22"/>
      <c r="O67" s="22"/>
      <c r="P67" s="22"/>
      <c r="Q67" s="22"/>
      <c r="R67" s="9"/>
    </row>
    <row r="68">
      <c r="A68" s="9"/>
      <c r="B68" s="22"/>
      <c r="C68" s="22"/>
      <c r="D68" s="22"/>
      <c r="E68" s="22"/>
      <c r="F68" s="22"/>
      <c r="G68" s="22"/>
      <c r="H68" s="22"/>
      <c r="I68" s="22"/>
      <c r="J68" s="22"/>
      <c r="K68" s="22"/>
      <c r="L68" s="22"/>
      <c r="M68" s="22"/>
      <c r="N68" s="22"/>
      <c r="O68" s="22"/>
      <c r="P68" s="22"/>
      <c r="Q68" s="22"/>
      <c r="R68" s="9"/>
    </row>
    <row r="69">
      <c r="A69" s="9"/>
      <c r="B69" s="22"/>
      <c r="C69" s="22"/>
      <c r="D69" s="22"/>
      <c r="E69" s="22"/>
      <c r="F69" s="22"/>
      <c r="G69" s="22"/>
      <c r="H69" s="22"/>
      <c r="I69" s="22"/>
      <c r="J69" s="22"/>
      <c r="K69" s="22"/>
      <c r="L69" s="22"/>
      <c r="M69" s="22"/>
      <c r="N69" s="22"/>
      <c r="O69" s="22"/>
      <c r="P69" s="22"/>
      <c r="Q69" s="22"/>
      <c r="R69" s="9"/>
    </row>
    <row r="70">
      <c r="A70" s="9"/>
      <c r="B70" s="22"/>
      <c r="C70" s="22"/>
      <c r="D70" s="22"/>
      <c r="E70" s="22"/>
      <c r="F70" s="22"/>
      <c r="G70" s="22"/>
      <c r="H70" s="22"/>
      <c r="I70" s="22"/>
      <c r="J70" s="22"/>
      <c r="K70" s="22"/>
      <c r="L70" s="22"/>
      <c r="M70" s="22"/>
      <c r="N70" s="22"/>
      <c r="O70" s="22"/>
      <c r="P70" s="22"/>
      <c r="Q70" s="22"/>
      <c r="R70" s="9"/>
    </row>
    <row r="71">
      <c r="A71" s="9"/>
      <c r="B71" s="22"/>
      <c r="C71" s="22"/>
      <c r="D71" s="22"/>
      <c r="E71" s="22"/>
      <c r="F71" s="22"/>
      <c r="G71" s="22"/>
      <c r="H71" s="22"/>
      <c r="I71" s="22"/>
      <c r="J71" s="22"/>
      <c r="K71" s="22"/>
      <c r="L71" s="22"/>
      <c r="M71" s="22"/>
      <c r="N71" s="22"/>
      <c r="O71" s="22"/>
      <c r="P71" s="22"/>
      <c r="Q71" s="22"/>
      <c r="R71" s="9"/>
    </row>
    <row r="72">
      <c r="A72" s="10"/>
      <c r="B72" s="32" t="s">
        <v>21</v>
      </c>
      <c r="C72" s="14"/>
      <c r="D72" s="14"/>
      <c r="E72" s="14"/>
      <c r="F72" s="14"/>
      <c r="G72" s="14"/>
      <c r="H72" s="14"/>
      <c r="I72" s="14"/>
      <c r="J72" s="14"/>
      <c r="K72" s="14"/>
      <c r="L72" s="14"/>
      <c r="M72" s="14"/>
      <c r="N72" s="14"/>
      <c r="O72" s="14"/>
      <c r="P72" s="14"/>
      <c r="Q72" s="15"/>
      <c r="R72" s="9"/>
    </row>
    <row r="73">
      <c r="A73" s="30"/>
      <c r="B73" s="31" t="s">
        <v>22</v>
      </c>
      <c r="C73" s="22"/>
      <c r="D73" s="22"/>
      <c r="E73" s="22"/>
      <c r="F73" s="22"/>
      <c r="G73" s="22"/>
      <c r="H73" s="22"/>
      <c r="I73" s="22"/>
      <c r="J73" s="22"/>
      <c r="K73" s="22"/>
      <c r="L73" s="22"/>
      <c r="M73" s="22"/>
      <c r="N73" s="22"/>
      <c r="O73" s="22"/>
      <c r="P73" s="22"/>
      <c r="Q73" s="22"/>
      <c r="R73" s="9"/>
    </row>
    <row r="74">
      <c r="A74" s="33"/>
      <c r="B74" s="34" t="s">
        <v>23</v>
      </c>
      <c r="C74" s="22"/>
      <c r="D74" s="22"/>
      <c r="E74" s="22"/>
      <c r="F74" s="22"/>
      <c r="G74" s="22"/>
      <c r="H74" s="22"/>
      <c r="I74" s="22"/>
      <c r="J74" s="22"/>
      <c r="K74" s="22"/>
      <c r="L74" s="22"/>
      <c r="M74" s="22"/>
      <c r="N74" s="22"/>
      <c r="O74" s="22"/>
      <c r="P74" s="22"/>
      <c r="Q74" s="22"/>
      <c r="R74" s="9"/>
    </row>
    <row r="75">
      <c r="A75" s="35"/>
      <c r="B75" s="36" t="s">
        <v>24</v>
      </c>
      <c r="C75" s="37" t="s">
        <v>25</v>
      </c>
      <c r="D75" s="38"/>
      <c r="E75" s="38"/>
      <c r="F75" s="38"/>
      <c r="G75" s="38"/>
      <c r="H75" s="39"/>
      <c r="I75" s="40"/>
      <c r="J75" s="40"/>
      <c r="K75" s="40"/>
      <c r="L75" s="40"/>
      <c r="M75" s="40"/>
      <c r="N75" s="40"/>
      <c r="O75" s="40"/>
      <c r="P75" s="40"/>
      <c r="Q75" s="40"/>
      <c r="R75" s="41"/>
    </row>
    <row r="76">
      <c r="A76" s="35"/>
      <c r="B76" s="42"/>
      <c r="C76" s="43" t="s">
        <v>26</v>
      </c>
      <c r="D76" s="44"/>
      <c r="E76" s="44"/>
      <c r="F76" s="44"/>
      <c r="G76" s="45"/>
      <c r="H76" s="46"/>
      <c r="I76" s="47"/>
      <c r="J76" s="47"/>
      <c r="K76" s="47"/>
      <c r="L76" s="48"/>
      <c r="M76" s="46"/>
      <c r="N76" s="47"/>
      <c r="O76" s="47"/>
      <c r="P76" s="47"/>
      <c r="Q76" s="48"/>
      <c r="R76" s="9"/>
    </row>
    <row r="77" ht="52.5" customHeight="1">
      <c r="A77" s="35"/>
      <c r="B77" s="49"/>
      <c r="C77" s="50"/>
      <c r="D77" s="38"/>
      <c r="E77" s="38"/>
      <c r="F77" s="38"/>
      <c r="G77" s="51"/>
      <c r="H77" s="52"/>
      <c r="I77" s="52"/>
      <c r="J77" s="52"/>
      <c r="K77" s="52"/>
      <c r="L77" s="52"/>
      <c r="M77" s="52"/>
      <c r="N77" s="52"/>
      <c r="O77" s="52"/>
      <c r="P77" s="52"/>
      <c r="Q77" s="52"/>
      <c r="R77" s="9"/>
    </row>
    <row r="78" ht="52.5" customHeight="1">
      <c r="A78" s="53"/>
      <c r="B78" s="54" t="s">
        <v>27</v>
      </c>
      <c r="C78" s="55" t="s">
        <v>28</v>
      </c>
      <c r="D78" s="47"/>
      <c r="E78" s="47"/>
      <c r="F78" s="47"/>
      <c r="G78" s="48"/>
      <c r="H78" s="56"/>
      <c r="I78" s="56"/>
      <c r="J78" s="56"/>
      <c r="K78" s="56"/>
      <c r="L78" s="56"/>
      <c r="M78" s="57"/>
      <c r="N78" s="57"/>
      <c r="O78" s="57"/>
      <c r="P78" s="57"/>
      <c r="Q78" s="57"/>
      <c r="R78" s="9"/>
    </row>
    <row r="79" ht="52.5" customHeight="1">
      <c r="A79" s="53"/>
      <c r="B79" s="54" t="s">
        <v>29</v>
      </c>
      <c r="C79" s="55" t="s">
        <v>30</v>
      </c>
      <c r="D79" s="47"/>
      <c r="E79" s="47"/>
      <c r="F79" s="47"/>
      <c r="G79" s="48"/>
      <c r="H79" s="58"/>
      <c r="I79" s="58"/>
      <c r="J79" s="58"/>
      <c r="K79" s="56"/>
      <c r="L79" s="58"/>
      <c r="M79" s="58"/>
      <c r="N79" s="58"/>
      <c r="O79" s="58"/>
      <c r="P79" s="56"/>
      <c r="Q79" s="58"/>
      <c r="R79" s="59"/>
    </row>
    <row r="80" ht="52.5" customHeight="1">
      <c r="A80" s="53"/>
      <c r="B80" s="54" t="s">
        <v>31</v>
      </c>
      <c r="C80" s="55" t="s">
        <v>32</v>
      </c>
      <c r="D80" s="47"/>
      <c r="E80" s="47"/>
      <c r="F80" s="47"/>
      <c r="G80" s="48"/>
      <c r="H80" s="57"/>
      <c r="I80" s="57"/>
      <c r="J80" s="57"/>
      <c r="K80" s="57"/>
      <c r="L80" s="57"/>
      <c r="M80" s="57"/>
      <c r="N80" s="57"/>
      <c r="O80" s="57"/>
      <c r="P80" s="57"/>
      <c r="Q80" s="57"/>
      <c r="R80" s="59"/>
    </row>
    <row r="81" ht="52.5" customHeight="1">
      <c r="A81" s="53"/>
      <c r="B81" s="54" t="s">
        <v>33</v>
      </c>
      <c r="C81" s="60" t="s">
        <v>34</v>
      </c>
      <c r="D81" s="47"/>
      <c r="E81" s="47"/>
      <c r="F81" s="47"/>
      <c r="G81" s="48"/>
      <c r="H81" s="56"/>
      <c r="I81" s="56"/>
      <c r="J81" s="56"/>
      <c r="K81" s="56"/>
      <c r="L81" s="56"/>
      <c r="M81" s="56"/>
      <c r="N81" s="56"/>
      <c r="O81" s="56"/>
      <c r="P81" s="56"/>
      <c r="Q81" s="56"/>
      <c r="R81" s="9"/>
    </row>
    <row r="82" ht="52.5" customHeight="1">
      <c r="A82" s="53"/>
      <c r="B82" s="54" t="s">
        <v>35</v>
      </c>
      <c r="C82" s="61">
        <v>0.03</v>
      </c>
      <c r="D82" s="47"/>
      <c r="E82" s="47"/>
      <c r="F82" s="47"/>
      <c r="G82" s="48"/>
      <c r="H82" s="56"/>
      <c r="I82" s="56"/>
      <c r="J82" s="56"/>
      <c r="K82" s="56"/>
      <c r="L82" s="56"/>
      <c r="M82" s="56"/>
      <c r="N82" s="56"/>
      <c r="O82" s="56"/>
      <c r="P82" s="56"/>
      <c r="Q82" s="56"/>
      <c r="R82" s="9"/>
    </row>
    <row r="83" ht="52.5" customHeight="1">
      <c r="A83" s="53"/>
      <c r="B83" s="62" t="s">
        <v>36</v>
      </c>
      <c r="C83" s="63" t="s">
        <v>37</v>
      </c>
      <c r="D83" s="47"/>
      <c r="E83" s="47"/>
      <c r="F83" s="47"/>
      <c r="G83" s="48"/>
      <c r="H83" s="57"/>
      <c r="I83" s="57"/>
      <c r="J83" s="57"/>
      <c r="K83" s="57"/>
      <c r="L83" s="57"/>
      <c r="M83" s="57"/>
      <c r="N83" s="57"/>
      <c r="O83" s="57"/>
      <c r="P83" s="57"/>
      <c r="Q83" s="57"/>
      <c r="R83" s="9"/>
    </row>
    <row r="84">
      <c r="A84" s="9"/>
      <c r="B84" s="9"/>
      <c r="C84" s="9"/>
      <c r="D84" s="9"/>
      <c r="E84" s="9"/>
      <c r="F84" s="9"/>
      <c r="G84" s="9"/>
      <c r="H84" s="9"/>
      <c r="I84" s="9"/>
      <c r="J84" s="9"/>
      <c r="K84" s="9"/>
      <c r="L84" s="9"/>
      <c r="M84" s="9"/>
      <c r="N84" s="9"/>
      <c r="O84" s="9"/>
      <c r="P84" s="9"/>
      <c r="Q84" s="9"/>
      <c r="R84" s="9"/>
    </row>
    <row r="85">
      <c r="A85" s="10"/>
      <c r="B85" s="64" t="s">
        <v>38</v>
      </c>
      <c r="C85" s="65" t="s">
        <v>39</v>
      </c>
      <c r="D85" s="66"/>
      <c r="E85" s="66"/>
      <c r="F85" s="66"/>
      <c r="G85" s="67"/>
      <c r="H85" s="68"/>
      <c r="I85" s="68"/>
      <c r="J85" s="68"/>
      <c r="K85" s="68"/>
      <c r="L85" s="68"/>
      <c r="M85" s="9"/>
      <c r="N85" s="9"/>
      <c r="O85" s="9"/>
      <c r="P85" s="9"/>
      <c r="Q85" s="9"/>
      <c r="R85" s="9"/>
    </row>
    <row r="86">
      <c r="A86" s="33"/>
      <c r="B86" s="69" t="s">
        <v>40</v>
      </c>
      <c r="C86" s="70" t="s">
        <v>41</v>
      </c>
      <c r="D86" s="71"/>
      <c r="E86" s="71"/>
      <c r="F86" s="71"/>
      <c r="G86" s="71"/>
      <c r="H86" s="71"/>
      <c r="I86" s="71"/>
      <c r="J86" s="71"/>
      <c r="K86" s="71"/>
      <c r="L86" s="72"/>
      <c r="M86" s="72"/>
      <c r="N86" s="9"/>
      <c r="O86" s="9"/>
      <c r="P86" s="9"/>
      <c r="Q86" s="9"/>
      <c r="R86" s="9"/>
    </row>
    <row r="87">
      <c r="A87" s="33"/>
      <c r="B87" s="69" t="s">
        <v>40</v>
      </c>
      <c r="C87" s="73" t="s">
        <v>42</v>
      </c>
      <c r="D87" s="71"/>
      <c r="E87" s="71"/>
      <c r="F87" s="71"/>
      <c r="G87" s="71"/>
      <c r="H87" s="71"/>
      <c r="I87" s="71"/>
      <c r="J87" s="71"/>
      <c r="K87" s="71"/>
      <c r="L87" s="72"/>
      <c r="M87" s="41"/>
      <c r="N87" s="9"/>
      <c r="O87" s="9"/>
      <c r="P87" s="9"/>
      <c r="Q87" s="9"/>
      <c r="R87" s="9"/>
    </row>
    <row r="88">
      <c r="A88" s="33"/>
      <c r="B88" s="69" t="s">
        <v>43</v>
      </c>
      <c r="C88" s="70" t="s">
        <v>44</v>
      </c>
      <c r="D88" s="71"/>
      <c r="E88" s="71"/>
      <c r="F88" s="71"/>
      <c r="G88" s="71"/>
      <c r="H88" s="71"/>
      <c r="I88" s="71"/>
      <c r="J88" s="71"/>
      <c r="K88" s="71"/>
      <c r="L88" s="72"/>
      <c r="M88" s="41"/>
      <c r="N88" s="9"/>
      <c r="O88" s="9"/>
      <c r="P88" s="9"/>
      <c r="Q88" s="9"/>
      <c r="R88" s="9"/>
    </row>
    <row r="89">
      <c r="A89" s="33"/>
      <c r="B89" s="69" t="s">
        <v>43</v>
      </c>
      <c r="C89" s="70" t="s">
        <v>45</v>
      </c>
      <c r="D89" s="71"/>
      <c r="E89" s="71"/>
      <c r="F89" s="71"/>
      <c r="G89" s="71"/>
      <c r="H89" s="71"/>
      <c r="I89" s="71"/>
      <c r="J89" s="71"/>
      <c r="K89" s="71"/>
      <c r="L89" s="72"/>
      <c r="M89" s="41"/>
      <c r="N89" s="9"/>
      <c r="O89" s="9"/>
      <c r="P89" s="9"/>
      <c r="Q89" s="9"/>
      <c r="R89" s="9"/>
    </row>
    <row r="90">
      <c r="A90" s="33"/>
      <c r="B90" s="69" t="s">
        <v>46</v>
      </c>
      <c r="C90" s="74" t="s">
        <v>47</v>
      </c>
      <c r="D90" s="75"/>
      <c r="E90" s="75"/>
      <c r="F90" s="75"/>
      <c r="G90" s="75"/>
      <c r="H90" s="75"/>
      <c r="I90" s="75"/>
      <c r="J90" s="75"/>
      <c r="K90" s="75"/>
      <c r="L90" s="76"/>
      <c r="M90" s="41"/>
      <c r="N90" s="9"/>
      <c r="O90" s="9"/>
      <c r="P90" s="9"/>
      <c r="Q90" s="9"/>
      <c r="R90" s="9"/>
    </row>
    <row r="91">
      <c r="A91" s="33"/>
      <c r="B91" s="69" t="s">
        <v>48</v>
      </c>
      <c r="C91" s="74" t="s">
        <v>49</v>
      </c>
      <c r="D91" s="75"/>
      <c r="E91" s="75"/>
      <c r="F91" s="75"/>
      <c r="G91" s="75"/>
      <c r="H91" s="75"/>
      <c r="I91" s="75"/>
      <c r="J91" s="75"/>
      <c r="K91" s="75"/>
      <c r="L91" s="76"/>
      <c r="M91" s="41"/>
      <c r="N91" s="9"/>
      <c r="O91" s="9"/>
      <c r="P91" s="9"/>
      <c r="Q91" s="9"/>
      <c r="R91" s="9"/>
    </row>
    <row r="92">
      <c r="A92" s="33"/>
      <c r="B92" s="69" t="s">
        <v>50</v>
      </c>
      <c r="C92" s="74" t="s">
        <v>51</v>
      </c>
      <c r="D92" s="75"/>
      <c r="E92" s="75"/>
      <c r="F92" s="75"/>
      <c r="G92" s="75"/>
      <c r="H92" s="75"/>
      <c r="I92" s="75"/>
      <c r="J92" s="75"/>
      <c r="K92" s="75"/>
      <c r="L92" s="76"/>
      <c r="M92" s="41"/>
      <c r="N92" s="9"/>
      <c r="O92" s="9"/>
      <c r="P92" s="9"/>
      <c r="Q92" s="9"/>
      <c r="R92" s="9"/>
    </row>
    <row r="93">
      <c r="A93" s="33"/>
      <c r="B93" s="69" t="s">
        <v>52</v>
      </c>
      <c r="C93" s="77" t="s">
        <v>53</v>
      </c>
      <c r="D93" s="75"/>
      <c r="E93" s="75"/>
      <c r="F93" s="75"/>
      <c r="G93" s="75"/>
      <c r="H93" s="75"/>
      <c r="I93" s="75"/>
      <c r="J93" s="75"/>
      <c r="K93" s="75"/>
      <c r="L93" s="76"/>
      <c r="M93" s="41"/>
      <c r="N93" s="9"/>
      <c r="O93" s="9"/>
      <c r="P93" s="9"/>
      <c r="Q93" s="9"/>
      <c r="R93" s="9"/>
    </row>
    <row r="94">
      <c r="A94" s="33"/>
      <c r="B94" s="78" t="s">
        <v>54</v>
      </c>
      <c r="C94" s="79" t="s">
        <v>55</v>
      </c>
      <c r="D94" s="75"/>
      <c r="E94" s="75"/>
      <c r="F94" s="75"/>
      <c r="G94" s="75"/>
      <c r="H94" s="75"/>
      <c r="I94" s="75"/>
      <c r="J94" s="75"/>
      <c r="K94" s="75"/>
      <c r="L94" s="76"/>
      <c r="M94" s="41"/>
      <c r="N94" s="9"/>
      <c r="O94" s="9"/>
      <c r="P94" s="9"/>
      <c r="Q94" s="9"/>
      <c r="R94" s="9"/>
    </row>
    <row r="95">
      <c r="A95" s="33"/>
      <c r="C95" s="79" t="s">
        <v>56</v>
      </c>
      <c r="D95" s="75"/>
      <c r="E95" s="75"/>
      <c r="F95" s="75"/>
      <c r="G95" s="75"/>
      <c r="H95" s="75"/>
      <c r="I95" s="75"/>
      <c r="J95" s="75"/>
      <c r="K95" s="75"/>
      <c r="L95" s="76"/>
      <c r="M95" s="41"/>
      <c r="N95" s="9"/>
      <c r="O95" s="9"/>
      <c r="P95" s="9"/>
      <c r="Q95" s="9"/>
      <c r="R95" s="9"/>
    </row>
    <row r="96">
      <c r="A96" s="33"/>
      <c r="C96" s="79" t="s">
        <v>57</v>
      </c>
      <c r="D96" s="75"/>
      <c r="E96" s="75"/>
      <c r="F96" s="75"/>
      <c r="G96" s="75"/>
      <c r="H96" s="75"/>
      <c r="I96" s="75"/>
      <c r="J96" s="75"/>
      <c r="K96" s="75"/>
      <c r="L96" s="76"/>
      <c r="M96" s="41"/>
      <c r="N96" s="9"/>
      <c r="O96" s="9"/>
      <c r="P96" s="9"/>
      <c r="Q96" s="9"/>
      <c r="R96" s="9"/>
    </row>
    <row r="97">
      <c r="A97" s="9"/>
      <c r="B97" s="9"/>
      <c r="C97" s="80"/>
      <c r="D97" s="80"/>
      <c r="E97" s="80"/>
      <c r="F97" s="80"/>
      <c r="G97" s="80"/>
      <c r="H97" s="80"/>
      <c r="I97" s="80"/>
      <c r="J97" s="80"/>
      <c r="K97" s="80"/>
      <c r="L97" s="80"/>
      <c r="M97" s="9"/>
      <c r="N97" s="9"/>
      <c r="O97" s="9"/>
      <c r="P97" s="9"/>
      <c r="Q97" s="9"/>
      <c r="R97" s="9"/>
    </row>
  </sheetData>
  <mergeCells count="12">
    <mergeCell ref="C80:G80"/>
    <mergeCell ref="C81:G81"/>
    <mergeCell ref="C82:G82"/>
    <mergeCell ref="C83:G83"/>
    <mergeCell ref="B94:B96"/>
    <mergeCell ref="B75:B77"/>
    <mergeCell ref="C75:G75"/>
    <mergeCell ref="C76:G77"/>
    <mergeCell ref="H76:L76"/>
    <mergeCell ref="M76:Q76"/>
    <mergeCell ref="C78:G78"/>
    <mergeCell ref="C79:G79"/>
  </mergeCells>
  <hyperlinks>
    <hyperlink r:id="rId1" ref="C87"/>
    <hyperlink r:id="rId2" ref="C93"/>
    <hyperlink r:id="rId3" ref="C94"/>
    <hyperlink r:id="rId4" ref="C95"/>
    <hyperlink r:id="rId5" ref="C96"/>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33.5"/>
    <col customWidth="1" min="3" max="3" width="57.0"/>
  </cols>
  <sheetData>
    <row r="1">
      <c r="A1" s="81" t="s">
        <v>58</v>
      </c>
      <c r="B1" s="82"/>
      <c r="C1" s="83"/>
      <c r="D1" s="82"/>
      <c r="E1" s="84"/>
      <c r="F1" s="82"/>
      <c r="G1" s="82"/>
      <c r="H1" s="82"/>
      <c r="I1" s="82"/>
      <c r="J1" s="82"/>
      <c r="K1" s="82"/>
      <c r="L1" s="82"/>
      <c r="M1" s="82"/>
      <c r="N1" s="82"/>
      <c r="O1" s="82"/>
      <c r="P1" s="82"/>
      <c r="Q1" s="82"/>
      <c r="R1" s="82"/>
      <c r="S1" s="82"/>
      <c r="T1" s="82"/>
      <c r="U1" s="82"/>
      <c r="V1" s="82"/>
      <c r="W1" s="82"/>
      <c r="X1" s="82"/>
      <c r="Y1" s="82"/>
      <c r="Z1" s="82"/>
    </row>
    <row r="2">
      <c r="A2" s="85"/>
      <c r="B2" s="82"/>
      <c r="C2" s="83"/>
      <c r="D2" s="82"/>
      <c r="E2" s="84"/>
      <c r="F2" s="82"/>
      <c r="G2" s="82"/>
      <c r="H2" s="82"/>
      <c r="I2" s="82"/>
      <c r="J2" s="82"/>
      <c r="K2" s="82"/>
      <c r="L2" s="82"/>
      <c r="M2" s="82"/>
      <c r="N2" s="82"/>
      <c r="O2" s="82"/>
      <c r="P2" s="82"/>
      <c r="Q2" s="82"/>
      <c r="R2" s="82"/>
      <c r="S2" s="82"/>
      <c r="T2" s="82"/>
      <c r="U2" s="82"/>
      <c r="V2" s="82"/>
      <c r="W2" s="82"/>
      <c r="X2" s="82"/>
      <c r="Y2" s="82"/>
      <c r="Z2" s="82"/>
    </row>
    <row r="3">
      <c r="A3" s="86" t="s">
        <v>59</v>
      </c>
      <c r="B3" s="87"/>
      <c r="C3" s="88"/>
      <c r="D3" s="87" t="s">
        <v>60</v>
      </c>
      <c r="E3" s="84"/>
      <c r="F3" s="82"/>
      <c r="G3" s="82"/>
      <c r="H3" s="82"/>
      <c r="I3" s="82"/>
      <c r="J3" s="82"/>
      <c r="K3" s="82"/>
      <c r="L3" s="82"/>
      <c r="M3" s="82"/>
      <c r="N3" s="82"/>
      <c r="O3" s="82"/>
      <c r="P3" s="82"/>
      <c r="Q3" s="82"/>
      <c r="R3" s="82"/>
      <c r="S3" s="82"/>
      <c r="T3" s="82"/>
      <c r="U3" s="82"/>
      <c r="V3" s="82"/>
      <c r="W3" s="82"/>
      <c r="X3" s="82"/>
      <c r="Y3" s="82"/>
      <c r="Z3" s="82"/>
    </row>
    <row r="4">
      <c r="A4" s="89" t="s">
        <v>61</v>
      </c>
      <c r="B4" s="90" t="s">
        <v>62</v>
      </c>
      <c r="C4" s="91" t="s">
        <v>63</v>
      </c>
      <c r="D4" s="92" t="s">
        <v>64</v>
      </c>
      <c r="E4" s="93">
        <v>0.09</v>
      </c>
      <c r="F4" s="82"/>
      <c r="G4" s="82"/>
      <c r="H4" s="82"/>
      <c r="I4" s="82"/>
      <c r="J4" s="82"/>
      <c r="K4" s="82"/>
      <c r="L4" s="82"/>
      <c r="M4" s="82"/>
      <c r="N4" s="82"/>
      <c r="O4" s="82"/>
      <c r="P4" s="82"/>
      <c r="Q4" s="82"/>
      <c r="R4" s="82"/>
      <c r="S4" s="82"/>
      <c r="T4" s="82"/>
      <c r="U4" s="82"/>
      <c r="V4" s="82"/>
      <c r="W4" s="82"/>
      <c r="X4" s="82"/>
      <c r="Y4" s="82"/>
      <c r="Z4" s="82"/>
    </row>
    <row r="5">
      <c r="A5" s="94"/>
      <c r="B5" s="90" t="s">
        <v>65</v>
      </c>
      <c r="C5" s="91" t="s">
        <v>66</v>
      </c>
      <c r="D5" s="94"/>
      <c r="E5" s="93">
        <v>0.09</v>
      </c>
      <c r="F5" s="82"/>
      <c r="G5" s="82"/>
      <c r="H5" s="82"/>
      <c r="I5" s="82"/>
      <c r="J5" s="82"/>
      <c r="K5" s="82"/>
      <c r="L5" s="82"/>
      <c r="M5" s="82"/>
      <c r="N5" s="82"/>
      <c r="O5" s="82"/>
      <c r="P5" s="82"/>
      <c r="Q5" s="82"/>
      <c r="R5" s="82"/>
      <c r="S5" s="82"/>
      <c r="T5" s="82"/>
      <c r="U5" s="82"/>
      <c r="V5" s="82"/>
      <c r="W5" s="82"/>
      <c r="X5" s="82"/>
      <c r="Y5" s="82"/>
      <c r="Z5" s="82"/>
    </row>
    <row r="6">
      <c r="A6" s="94"/>
      <c r="B6" s="90" t="s">
        <v>67</v>
      </c>
      <c r="C6" s="91" t="s">
        <v>67</v>
      </c>
      <c r="D6" s="94"/>
      <c r="E6" s="93">
        <v>0.09</v>
      </c>
      <c r="F6" s="82"/>
      <c r="G6" s="82"/>
      <c r="H6" s="82"/>
      <c r="I6" s="82"/>
      <c r="J6" s="82"/>
      <c r="K6" s="82"/>
      <c r="L6" s="82"/>
      <c r="M6" s="82"/>
      <c r="N6" s="82"/>
      <c r="O6" s="82"/>
      <c r="P6" s="82"/>
      <c r="Q6" s="82"/>
      <c r="R6" s="82"/>
      <c r="S6" s="82"/>
      <c r="T6" s="82"/>
      <c r="U6" s="82"/>
      <c r="V6" s="82"/>
      <c r="W6" s="82"/>
      <c r="X6" s="82"/>
      <c r="Y6" s="82"/>
      <c r="Z6" s="82"/>
    </row>
    <row r="7">
      <c r="A7" s="94"/>
      <c r="B7" s="90" t="s">
        <v>68</v>
      </c>
      <c r="C7" s="91" t="s">
        <v>68</v>
      </c>
      <c r="D7" s="94"/>
      <c r="E7" s="93">
        <v>0.09</v>
      </c>
      <c r="F7" s="82"/>
      <c r="G7" s="82"/>
      <c r="H7" s="82"/>
      <c r="I7" s="82"/>
      <c r="J7" s="82"/>
      <c r="K7" s="82"/>
      <c r="L7" s="82"/>
      <c r="M7" s="82"/>
      <c r="N7" s="82"/>
      <c r="O7" s="82"/>
      <c r="P7" s="82"/>
      <c r="Q7" s="82"/>
      <c r="R7" s="82"/>
      <c r="S7" s="82"/>
      <c r="T7" s="82"/>
      <c r="U7" s="82"/>
      <c r="V7" s="82"/>
      <c r="W7" s="82"/>
      <c r="X7" s="82"/>
      <c r="Y7" s="82"/>
      <c r="Z7" s="82"/>
    </row>
    <row r="8">
      <c r="A8" s="94"/>
      <c r="B8" s="90" t="s">
        <v>69</v>
      </c>
      <c r="C8" s="91" t="s">
        <v>69</v>
      </c>
      <c r="D8" s="94"/>
      <c r="E8" s="93">
        <v>0.09</v>
      </c>
      <c r="F8" s="82"/>
      <c r="G8" s="82"/>
      <c r="H8" s="82"/>
      <c r="I8" s="82"/>
      <c r="J8" s="82"/>
      <c r="K8" s="82"/>
      <c r="L8" s="82"/>
      <c r="M8" s="82"/>
      <c r="N8" s="82"/>
      <c r="O8" s="82"/>
      <c r="P8" s="82"/>
      <c r="Q8" s="82"/>
      <c r="R8" s="82"/>
      <c r="S8" s="82"/>
      <c r="T8" s="82"/>
      <c r="U8" s="82"/>
      <c r="V8" s="82"/>
      <c r="W8" s="82"/>
      <c r="X8" s="82"/>
      <c r="Y8" s="82"/>
      <c r="Z8" s="82"/>
    </row>
    <row r="9">
      <c r="A9" s="94"/>
      <c r="B9" s="90" t="s">
        <v>70</v>
      </c>
      <c r="C9" s="91" t="s">
        <v>70</v>
      </c>
      <c r="D9" s="94"/>
      <c r="E9" s="93">
        <v>0.09</v>
      </c>
      <c r="F9" s="82"/>
      <c r="G9" s="82"/>
      <c r="H9" s="82"/>
      <c r="I9" s="82"/>
      <c r="J9" s="82"/>
      <c r="K9" s="82"/>
      <c r="L9" s="82"/>
      <c r="M9" s="82"/>
      <c r="N9" s="82"/>
      <c r="O9" s="82"/>
      <c r="P9" s="82"/>
      <c r="Q9" s="82"/>
      <c r="R9" s="82"/>
      <c r="S9" s="82"/>
      <c r="T9" s="82"/>
      <c r="U9" s="82"/>
      <c r="V9" s="82"/>
      <c r="W9" s="82"/>
      <c r="X9" s="82"/>
      <c r="Y9" s="82"/>
      <c r="Z9" s="82"/>
    </row>
    <row r="10">
      <c r="A10" s="94"/>
      <c r="B10" s="90" t="s">
        <v>71</v>
      </c>
      <c r="C10" s="91" t="s">
        <v>71</v>
      </c>
      <c r="D10" s="94"/>
      <c r="E10" s="93">
        <v>0.09</v>
      </c>
      <c r="F10" s="82"/>
      <c r="G10" s="82"/>
      <c r="H10" s="82"/>
      <c r="I10" s="82"/>
      <c r="J10" s="82"/>
      <c r="K10" s="82"/>
      <c r="L10" s="82"/>
      <c r="M10" s="82"/>
      <c r="N10" s="82"/>
      <c r="O10" s="82"/>
      <c r="P10" s="82"/>
      <c r="Q10" s="82"/>
      <c r="R10" s="82"/>
      <c r="S10" s="82"/>
      <c r="T10" s="82"/>
      <c r="U10" s="82"/>
      <c r="V10" s="82"/>
      <c r="W10" s="82"/>
      <c r="X10" s="82"/>
      <c r="Y10" s="82"/>
      <c r="Z10" s="82"/>
    </row>
    <row r="11">
      <c r="A11" s="94"/>
      <c r="B11" s="90" t="s">
        <v>72</v>
      </c>
      <c r="C11" s="91" t="s">
        <v>72</v>
      </c>
      <c r="D11" s="94"/>
      <c r="E11" s="93">
        <v>0.09</v>
      </c>
      <c r="F11" s="82"/>
      <c r="G11" s="82"/>
      <c r="H11" s="82"/>
      <c r="I11" s="82"/>
      <c r="J11" s="82"/>
      <c r="K11" s="82"/>
      <c r="L11" s="82"/>
      <c r="M11" s="82"/>
      <c r="N11" s="82"/>
      <c r="O11" s="82"/>
      <c r="P11" s="82"/>
      <c r="Q11" s="82"/>
      <c r="R11" s="82"/>
      <c r="S11" s="82"/>
      <c r="T11" s="82"/>
      <c r="U11" s="82"/>
      <c r="V11" s="82"/>
      <c r="W11" s="82"/>
      <c r="X11" s="82"/>
      <c r="Y11" s="82"/>
      <c r="Z11" s="82"/>
    </row>
    <row r="12">
      <c r="A12" s="94"/>
      <c r="B12" s="90" t="s">
        <v>73</v>
      </c>
      <c r="C12" s="91" t="s">
        <v>74</v>
      </c>
      <c r="D12" s="94"/>
      <c r="E12" s="93">
        <v>0.09</v>
      </c>
      <c r="F12" s="82"/>
      <c r="G12" s="82"/>
      <c r="H12" s="82"/>
      <c r="I12" s="82"/>
      <c r="J12" s="82"/>
      <c r="K12" s="82"/>
      <c r="L12" s="82"/>
      <c r="M12" s="82"/>
      <c r="N12" s="82"/>
      <c r="O12" s="82"/>
      <c r="P12" s="82"/>
      <c r="Q12" s="82"/>
      <c r="R12" s="82"/>
      <c r="S12" s="82"/>
      <c r="T12" s="82"/>
      <c r="U12" s="82"/>
      <c r="V12" s="82"/>
      <c r="W12" s="82"/>
      <c r="X12" s="82"/>
      <c r="Y12" s="82"/>
      <c r="Z12" s="82"/>
    </row>
    <row r="13">
      <c r="A13" s="94"/>
      <c r="B13" s="90" t="s">
        <v>75</v>
      </c>
      <c r="C13" s="91" t="s">
        <v>75</v>
      </c>
      <c r="D13" s="94"/>
      <c r="E13" s="93">
        <v>0.09</v>
      </c>
      <c r="F13" s="82"/>
      <c r="G13" s="82"/>
      <c r="H13" s="82"/>
      <c r="I13" s="82"/>
      <c r="J13" s="82"/>
      <c r="K13" s="82"/>
      <c r="L13" s="82"/>
      <c r="M13" s="82"/>
      <c r="N13" s="82"/>
      <c r="O13" s="82"/>
      <c r="P13" s="82"/>
      <c r="Q13" s="82"/>
      <c r="R13" s="82"/>
      <c r="S13" s="82"/>
      <c r="T13" s="82"/>
      <c r="U13" s="82"/>
      <c r="V13" s="82"/>
      <c r="W13" s="82"/>
      <c r="X13" s="82"/>
      <c r="Y13" s="82"/>
      <c r="Z13" s="82"/>
    </row>
    <row r="14">
      <c r="A14" s="94"/>
      <c r="B14" s="90" t="s">
        <v>76</v>
      </c>
      <c r="C14" s="91" t="s">
        <v>76</v>
      </c>
      <c r="D14" s="94"/>
      <c r="E14" s="93">
        <v>0.09</v>
      </c>
      <c r="F14" s="82"/>
      <c r="G14" s="82"/>
      <c r="H14" s="82"/>
      <c r="I14" s="82"/>
      <c r="J14" s="82"/>
      <c r="K14" s="82"/>
      <c r="L14" s="82"/>
      <c r="M14" s="82"/>
      <c r="N14" s="82"/>
      <c r="O14" s="82"/>
      <c r="P14" s="82"/>
      <c r="Q14" s="82"/>
      <c r="R14" s="82"/>
      <c r="S14" s="82"/>
      <c r="T14" s="82"/>
      <c r="U14" s="82"/>
      <c r="V14" s="82"/>
      <c r="W14" s="82"/>
      <c r="X14" s="82"/>
      <c r="Y14" s="82"/>
      <c r="Z14" s="82"/>
    </row>
    <row r="15">
      <c r="A15" s="94"/>
      <c r="B15" s="90" t="s">
        <v>77</v>
      </c>
      <c r="C15" s="91" t="s">
        <v>77</v>
      </c>
      <c r="D15" s="94"/>
      <c r="E15" s="93">
        <v>0.09</v>
      </c>
      <c r="F15" s="82"/>
      <c r="G15" s="82"/>
      <c r="H15" s="82"/>
      <c r="I15" s="82"/>
      <c r="J15" s="82"/>
      <c r="K15" s="82"/>
      <c r="L15" s="82"/>
      <c r="M15" s="82"/>
      <c r="N15" s="82"/>
      <c r="O15" s="82"/>
      <c r="P15" s="82"/>
      <c r="Q15" s="82"/>
      <c r="R15" s="82"/>
      <c r="S15" s="82"/>
      <c r="T15" s="82"/>
      <c r="U15" s="82"/>
      <c r="V15" s="82"/>
      <c r="W15" s="82"/>
      <c r="X15" s="82"/>
      <c r="Y15" s="82"/>
      <c r="Z15" s="82"/>
    </row>
    <row r="16">
      <c r="A16" s="94"/>
      <c r="B16" s="90" t="s">
        <v>78</v>
      </c>
      <c r="C16" s="91" t="s">
        <v>78</v>
      </c>
      <c r="D16" s="94"/>
      <c r="E16" s="93">
        <v>0.09</v>
      </c>
      <c r="F16" s="82"/>
      <c r="G16" s="82"/>
      <c r="H16" s="82"/>
      <c r="I16" s="82"/>
      <c r="J16" s="82"/>
      <c r="K16" s="82"/>
      <c r="L16" s="82"/>
      <c r="M16" s="82"/>
      <c r="N16" s="82"/>
      <c r="O16" s="82"/>
      <c r="P16" s="82"/>
      <c r="Q16" s="82"/>
      <c r="R16" s="82"/>
      <c r="S16" s="82"/>
      <c r="T16" s="82"/>
      <c r="U16" s="82"/>
      <c r="V16" s="82"/>
      <c r="W16" s="82"/>
      <c r="X16" s="82"/>
      <c r="Y16" s="82"/>
      <c r="Z16" s="82"/>
    </row>
    <row r="17">
      <c r="A17" s="94"/>
      <c r="B17" s="90" t="s">
        <v>79</v>
      </c>
      <c r="C17" s="91" t="s">
        <v>79</v>
      </c>
      <c r="D17" s="95"/>
      <c r="E17" s="93">
        <v>0.09</v>
      </c>
      <c r="F17" s="82"/>
      <c r="G17" s="82"/>
      <c r="H17" s="82"/>
      <c r="I17" s="82"/>
      <c r="J17" s="82"/>
      <c r="K17" s="82"/>
      <c r="L17" s="82"/>
      <c r="M17" s="82"/>
      <c r="N17" s="82"/>
      <c r="O17" s="82"/>
      <c r="P17" s="82"/>
      <c r="Q17" s="82"/>
      <c r="R17" s="82"/>
      <c r="S17" s="82"/>
      <c r="T17" s="82"/>
      <c r="U17" s="82"/>
      <c r="V17" s="82"/>
      <c r="W17" s="82"/>
      <c r="X17" s="82"/>
      <c r="Y17" s="82"/>
      <c r="Z17" s="82"/>
    </row>
    <row r="18">
      <c r="A18" s="94"/>
      <c r="B18" s="90" t="s">
        <v>65</v>
      </c>
      <c r="C18" s="91" t="s">
        <v>80</v>
      </c>
      <c r="D18" s="86" t="s">
        <v>81</v>
      </c>
      <c r="E18" s="93">
        <v>0.0825</v>
      </c>
      <c r="F18" s="82"/>
      <c r="G18" s="82"/>
      <c r="H18" s="82"/>
      <c r="I18" s="82"/>
      <c r="J18" s="82"/>
      <c r="K18" s="82"/>
      <c r="L18" s="82"/>
      <c r="M18" s="82"/>
      <c r="N18" s="82"/>
      <c r="O18" s="82"/>
      <c r="P18" s="82"/>
      <c r="Q18" s="82"/>
      <c r="R18" s="82"/>
      <c r="S18" s="82"/>
      <c r="T18" s="82"/>
      <c r="U18" s="82"/>
      <c r="V18" s="82"/>
      <c r="W18" s="82"/>
      <c r="X18" s="82"/>
      <c r="Y18" s="82"/>
      <c r="Z18" s="82"/>
    </row>
    <row r="19">
      <c r="A19" s="94"/>
      <c r="B19" s="90" t="s">
        <v>82</v>
      </c>
      <c r="C19" s="91" t="s">
        <v>83</v>
      </c>
      <c r="D19" s="92" t="s">
        <v>84</v>
      </c>
      <c r="E19" s="93">
        <v>0.0425</v>
      </c>
      <c r="F19" s="82"/>
      <c r="G19" s="82"/>
      <c r="H19" s="82"/>
      <c r="I19" s="82"/>
      <c r="J19" s="82"/>
      <c r="K19" s="82"/>
      <c r="L19" s="82"/>
      <c r="M19" s="82"/>
      <c r="N19" s="82"/>
      <c r="O19" s="82"/>
      <c r="P19" s="82"/>
      <c r="Q19" s="82"/>
      <c r="R19" s="82"/>
      <c r="S19" s="82"/>
      <c r="T19" s="82"/>
      <c r="U19" s="82"/>
      <c r="V19" s="82"/>
      <c r="W19" s="82"/>
      <c r="X19" s="82"/>
      <c r="Y19" s="82"/>
      <c r="Z19" s="82"/>
    </row>
    <row r="20">
      <c r="A20" s="94"/>
      <c r="B20" s="90" t="s">
        <v>85</v>
      </c>
      <c r="C20" s="91" t="s">
        <v>86</v>
      </c>
      <c r="D20" s="95"/>
      <c r="E20" s="93">
        <v>0.0425</v>
      </c>
      <c r="F20" s="82"/>
      <c r="G20" s="82"/>
      <c r="H20" s="82"/>
      <c r="I20" s="82"/>
      <c r="J20" s="82"/>
      <c r="K20" s="82"/>
      <c r="L20" s="82"/>
      <c r="M20" s="82"/>
      <c r="N20" s="82"/>
      <c r="O20" s="82"/>
      <c r="P20" s="82"/>
      <c r="Q20" s="82"/>
      <c r="R20" s="82"/>
      <c r="S20" s="82"/>
      <c r="T20" s="82"/>
      <c r="U20" s="82"/>
      <c r="V20" s="82"/>
      <c r="W20" s="82"/>
      <c r="X20" s="82"/>
      <c r="Y20" s="82"/>
      <c r="Z20" s="82"/>
    </row>
    <row r="21">
      <c r="A21" s="95"/>
      <c r="B21" s="90" t="s">
        <v>87</v>
      </c>
      <c r="C21" s="91" t="s">
        <v>87</v>
      </c>
      <c r="D21" s="86" t="s">
        <v>64</v>
      </c>
      <c r="E21" s="93">
        <v>0.09</v>
      </c>
      <c r="F21" s="82"/>
      <c r="G21" s="82"/>
      <c r="H21" s="82"/>
      <c r="I21" s="82"/>
      <c r="J21" s="82"/>
      <c r="K21" s="82"/>
      <c r="L21" s="82"/>
      <c r="M21" s="82"/>
      <c r="N21" s="82"/>
      <c r="O21" s="82"/>
      <c r="P21" s="82"/>
      <c r="Q21" s="82"/>
      <c r="R21" s="82"/>
      <c r="S21" s="82"/>
      <c r="T21" s="82"/>
      <c r="U21" s="82"/>
      <c r="V21" s="82"/>
      <c r="W21" s="82"/>
      <c r="X21" s="82"/>
      <c r="Y21" s="82"/>
      <c r="Z21" s="82"/>
    </row>
    <row r="22">
      <c r="A22" s="89" t="s">
        <v>88</v>
      </c>
      <c r="B22" s="90" t="s">
        <v>89</v>
      </c>
      <c r="C22" s="91" t="s">
        <v>90</v>
      </c>
      <c r="D22" s="92" t="s">
        <v>64</v>
      </c>
      <c r="E22" s="93">
        <v>0.09</v>
      </c>
      <c r="F22" s="82"/>
      <c r="G22" s="82"/>
      <c r="H22" s="82"/>
      <c r="I22" s="82"/>
      <c r="J22" s="82"/>
      <c r="K22" s="82"/>
      <c r="L22" s="82"/>
      <c r="M22" s="82"/>
      <c r="N22" s="82"/>
      <c r="O22" s="82"/>
      <c r="P22" s="82"/>
      <c r="Q22" s="82"/>
      <c r="R22" s="82"/>
      <c r="S22" s="82"/>
      <c r="T22" s="82"/>
      <c r="U22" s="82"/>
      <c r="V22" s="82"/>
      <c r="W22" s="82"/>
      <c r="X22" s="82"/>
      <c r="Y22" s="82"/>
      <c r="Z22" s="82"/>
    </row>
    <row r="23">
      <c r="A23" s="94"/>
      <c r="B23" s="90" t="s">
        <v>91</v>
      </c>
      <c r="C23" s="91" t="s">
        <v>92</v>
      </c>
      <c r="D23" s="94"/>
      <c r="E23" s="93">
        <v>0.09</v>
      </c>
      <c r="F23" s="82"/>
      <c r="G23" s="82"/>
      <c r="H23" s="82"/>
      <c r="I23" s="82"/>
      <c r="J23" s="82"/>
      <c r="K23" s="82"/>
      <c r="L23" s="82"/>
      <c r="M23" s="82"/>
      <c r="N23" s="82"/>
      <c r="O23" s="82"/>
      <c r="P23" s="82"/>
      <c r="Q23" s="82"/>
      <c r="R23" s="82"/>
      <c r="S23" s="82"/>
      <c r="T23" s="82"/>
      <c r="U23" s="82"/>
      <c r="V23" s="82"/>
      <c r="W23" s="82"/>
      <c r="X23" s="82"/>
      <c r="Y23" s="82"/>
      <c r="Z23" s="82"/>
    </row>
    <row r="24">
      <c r="A24" s="94"/>
      <c r="B24" s="90" t="s">
        <v>93</v>
      </c>
      <c r="C24" s="91" t="s">
        <v>94</v>
      </c>
      <c r="D24" s="94"/>
      <c r="E24" s="93">
        <v>0.09</v>
      </c>
      <c r="F24" s="82"/>
      <c r="G24" s="82"/>
      <c r="H24" s="82"/>
      <c r="I24" s="82"/>
      <c r="J24" s="82"/>
      <c r="K24" s="82"/>
      <c r="L24" s="82"/>
      <c r="M24" s="82"/>
      <c r="N24" s="82"/>
      <c r="O24" s="82"/>
      <c r="P24" s="82"/>
      <c r="Q24" s="82"/>
      <c r="R24" s="82"/>
      <c r="S24" s="82"/>
      <c r="T24" s="82"/>
      <c r="U24" s="82"/>
      <c r="V24" s="82"/>
      <c r="W24" s="82"/>
      <c r="X24" s="82"/>
      <c r="Y24" s="82"/>
      <c r="Z24" s="82"/>
    </row>
    <row r="25">
      <c r="A25" s="94"/>
      <c r="B25" s="90" t="s">
        <v>95</v>
      </c>
      <c r="C25" s="91" t="s">
        <v>96</v>
      </c>
      <c r="D25" s="94"/>
      <c r="E25" s="93">
        <v>0.09</v>
      </c>
      <c r="F25" s="82"/>
      <c r="G25" s="82"/>
      <c r="H25" s="82"/>
      <c r="I25" s="82"/>
      <c r="J25" s="82"/>
      <c r="K25" s="82"/>
      <c r="L25" s="82"/>
      <c r="M25" s="82"/>
      <c r="N25" s="82"/>
      <c r="O25" s="82"/>
      <c r="P25" s="82"/>
      <c r="Q25" s="82"/>
      <c r="R25" s="82"/>
      <c r="S25" s="82"/>
      <c r="T25" s="82"/>
      <c r="U25" s="82"/>
      <c r="V25" s="82"/>
      <c r="W25" s="82"/>
      <c r="X25" s="82"/>
      <c r="Y25" s="82"/>
      <c r="Z25" s="82"/>
    </row>
    <row r="26">
      <c r="A26" s="94"/>
      <c r="B26" s="90" t="s">
        <v>97</v>
      </c>
      <c r="C26" s="91" t="s">
        <v>98</v>
      </c>
      <c r="D26" s="94"/>
      <c r="E26" s="93">
        <v>0.09</v>
      </c>
      <c r="F26" s="82"/>
      <c r="G26" s="82"/>
      <c r="H26" s="82"/>
      <c r="I26" s="82"/>
      <c r="J26" s="82"/>
      <c r="K26" s="82"/>
      <c r="L26" s="82"/>
      <c r="M26" s="82"/>
      <c r="N26" s="82"/>
      <c r="O26" s="82"/>
      <c r="P26" s="82"/>
      <c r="Q26" s="82"/>
      <c r="R26" s="82"/>
      <c r="S26" s="82"/>
      <c r="T26" s="82"/>
      <c r="U26" s="82"/>
      <c r="V26" s="82"/>
      <c r="W26" s="82"/>
      <c r="X26" s="82"/>
      <c r="Y26" s="82"/>
      <c r="Z26" s="82"/>
    </row>
    <row r="27">
      <c r="A27" s="94"/>
      <c r="B27" s="90" t="s">
        <v>99</v>
      </c>
      <c r="C27" s="91" t="s">
        <v>100</v>
      </c>
      <c r="D27" s="94"/>
      <c r="E27" s="93">
        <v>0.09</v>
      </c>
      <c r="F27" s="82"/>
      <c r="G27" s="82"/>
      <c r="H27" s="82"/>
      <c r="I27" s="82"/>
      <c r="J27" s="82"/>
      <c r="K27" s="82"/>
      <c r="L27" s="82"/>
      <c r="M27" s="82"/>
      <c r="N27" s="82"/>
      <c r="O27" s="82"/>
      <c r="P27" s="82"/>
      <c r="Q27" s="82"/>
      <c r="R27" s="82"/>
      <c r="S27" s="82"/>
      <c r="T27" s="82"/>
      <c r="U27" s="82"/>
      <c r="V27" s="82"/>
      <c r="W27" s="82"/>
      <c r="X27" s="82"/>
      <c r="Y27" s="82"/>
      <c r="Z27" s="82"/>
    </row>
    <row r="28">
      <c r="A28" s="94"/>
      <c r="B28" s="90" t="s">
        <v>101</v>
      </c>
      <c r="C28" s="91" t="s">
        <v>101</v>
      </c>
      <c r="D28" s="95"/>
      <c r="E28" s="93">
        <v>0.09</v>
      </c>
      <c r="F28" s="82"/>
      <c r="G28" s="82"/>
      <c r="H28" s="82"/>
      <c r="I28" s="82"/>
      <c r="J28" s="82"/>
      <c r="K28" s="82"/>
      <c r="L28" s="82"/>
      <c r="M28" s="82"/>
      <c r="N28" s="82"/>
      <c r="O28" s="82"/>
      <c r="P28" s="82"/>
      <c r="Q28" s="82"/>
      <c r="R28" s="82"/>
      <c r="S28" s="82"/>
      <c r="T28" s="82"/>
      <c r="U28" s="82"/>
      <c r="V28" s="82"/>
      <c r="W28" s="82"/>
      <c r="X28" s="82"/>
      <c r="Y28" s="82"/>
      <c r="Z28" s="82"/>
    </row>
    <row r="29">
      <c r="A29" s="94"/>
      <c r="B29" s="90" t="s">
        <v>89</v>
      </c>
      <c r="C29" s="96"/>
      <c r="D29" s="86" t="s">
        <v>84</v>
      </c>
      <c r="E29" s="93">
        <v>0.0425</v>
      </c>
      <c r="F29" s="82"/>
      <c r="G29" s="82"/>
      <c r="H29" s="82"/>
      <c r="I29" s="82"/>
      <c r="J29" s="82"/>
      <c r="K29" s="82"/>
      <c r="L29" s="82"/>
      <c r="M29" s="82"/>
      <c r="N29" s="82"/>
      <c r="O29" s="82"/>
      <c r="P29" s="82"/>
      <c r="Q29" s="82"/>
      <c r="R29" s="82"/>
      <c r="S29" s="82"/>
      <c r="T29" s="82"/>
      <c r="U29" s="82"/>
      <c r="V29" s="82"/>
      <c r="W29" s="82"/>
      <c r="X29" s="82"/>
      <c r="Y29" s="82"/>
      <c r="Z29" s="82"/>
    </row>
    <row r="30">
      <c r="A30" s="95"/>
      <c r="B30" s="90" t="s">
        <v>102</v>
      </c>
      <c r="C30" s="91" t="s">
        <v>102</v>
      </c>
      <c r="D30" s="86" t="s">
        <v>64</v>
      </c>
      <c r="E30" s="93">
        <v>0.09</v>
      </c>
      <c r="F30" s="82"/>
      <c r="G30" s="82"/>
      <c r="H30" s="82"/>
      <c r="I30" s="82"/>
      <c r="J30" s="82"/>
      <c r="K30" s="82"/>
      <c r="L30" s="82"/>
      <c r="M30" s="82"/>
      <c r="N30" s="82"/>
      <c r="O30" s="82"/>
      <c r="P30" s="82"/>
      <c r="Q30" s="82"/>
      <c r="R30" s="82"/>
      <c r="S30" s="82"/>
      <c r="T30" s="82"/>
      <c r="U30" s="82"/>
      <c r="V30" s="82"/>
      <c r="W30" s="82"/>
      <c r="X30" s="82"/>
      <c r="Y30" s="82"/>
      <c r="Z30" s="82"/>
    </row>
    <row r="31">
      <c r="A31" s="89" t="s">
        <v>103</v>
      </c>
      <c r="B31" s="90" t="s">
        <v>104</v>
      </c>
      <c r="C31" s="91" t="s">
        <v>105</v>
      </c>
      <c r="D31" s="86" t="s">
        <v>106</v>
      </c>
      <c r="E31" s="93">
        <v>0.1</v>
      </c>
      <c r="F31" s="82"/>
      <c r="G31" s="82"/>
      <c r="H31" s="82"/>
      <c r="I31" s="82"/>
      <c r="J31" s="82"/>
      <c r="K31" s="82"/>
      <c r="L31" s="82"/>
      <c r="M31" s="82"/>
      <c r="N31" s="82"/>
      <c r="O31" s="82"/>
      <c r="P31" s="82"/>
      <c r="Q31" s="82"/>
      <c r="R31" s="82"/>
      <c r="S31" s="82"/>
      <c r="T31" s="82"/>
      <c r="U31" s="82"/>
      <c r="V31" s="82"/>
      <c r="W31" s="82"/>
      <c r="X31" s="82"/>
      <c r="Y31" s="82"/>
      <c r="Z31" s="82"/>
    </row>
    <row r="32">
      <c r="A32" s="94"/>
      <c r="B32" s="90" t="s">
        <v>107</v>
      </c>
      <c r="C32" s="91" t="s">
        <v>108</v>
      </c>
      <c r="D32" s="92" t="s">
        <v>81</v>
      </c>
      <c r="E32" s="93">
        <v>0.0825</v>
      </c>
      <c r="F32" s="82"/>
      <c r="G32" s="82"/>
      <c r="H32" s="82"/>
      <c r="I32" s="82"/>
      <c r="J32" s="82"/>
      <c r="K32" s="82"/>
      <c r="L32" s="82"/>
      <c r="M32" s="82"/>
      <c r="N32" s="82"/>
      <c r="O32" s="82"/>
      <c r="P32" s="82"/>
      <c r="Q32" s="82"/>
      <c r="R32" s="82"/>
      <c r="S32" s="82"/>
      <c r="T32" s="82"/>
      <c r="U32" s="82"/>
      <c r="V32" s="82"/>
      <c r="W32" s="82"/>
      <c r="X32" s="82"/>
      <c r="Y32" s="82"/>
      <c r="Z32" s="82"/>
    </row>
    <row r="33">
      <c r="A33" s="94"/>
      <c r="B33" s="90" t="s">
        <v>109</v>
      </c>
      <c r="C33" s="91" t="s">
        <v>110</v>
      </c>
      <c r="D33" s="94"/>
      <c r="E33" s="93">
        <v>0.0825</v>
      </c>
      <c r="F33" s="82"/>
      <c r="G33" s="82"/>
      <c r="H33" s="82"/>
      <c r="I33" s="82"/>
      <c r="J33" s="82"/>
      <c r="K33" s="82"/>
      <c r="L33" s="82"/>
      <c r="M33" s="82"/>
      <c r="N33" s="82"/>
      <c r="O33" s="82"/>
      <c r="P33" s="82"/>
      <c r="Q33" s="82"/>
      <c r="R33" s="82"/>
      <c r="S33" s="82"/>
      <c r="T33" s="82"/>
      <c r="U33" s="82"/>
      <c r="V33" s="82"/>
      <c r="W33" s="82"/>
      <c r="X33" s="82"/>
      <c r="Y33" s="82"/>
      <c r="Z33" s="82"/>
    </row>
    <row r="34">
      <c r="A34" s="94"/>
      <c r="B34" s="90" t="s">
        <v>111</v>
      </c>
      <c r="C34" s="91" t="s">
        <v>112</v>
      </c>
      <c r="D34" s="94"/>
      <c r="E34" s="93">
        <v>0.0825</v>
      </c>
      <c r="F34" s="82"/>
      <c r="G34" s="82"/>
      <c r="H34" s="82"/>
      <c r="I34" s="82"/>
      <c r="J34" s="82"/>
      <c r="K34" s="82"/>
      <c r="L34" s="82"/>
      <c r="M34" s="82"/>
      <c r="N34" s="82"/>
      <c r="O34" s="82"/>
      <c r="P34" s="82"/>
      <c r="Q34" s="82"/>
      <c r="R34" s="82"/>
      <c r="S34" s="82"/>
      <c r="T34" s="82"/>
      <c r="U34" s="82"/>
      <c r="V34" s="82"/>
      <c r="W34" s="82"/>
      <c r="X34" s="82"/>
      <c r="Y34" s="82"/>
      <c r="Z34" s="82"/>
    </row>
    <row r="35">
      <c r="A35" s="94"/>
      <c r="B35" s="90" t="s">
        <v>113</v>
      </c>
      <c r="C35" s="91" t="s">
        <v>114</v>
      </c>
      <c r="D35" s="94"/>
      <c r="E35" s="93">
        <v>0.0825</v>
      </c>
      <c r="F35" s="82"/>
      <c r="G35" s="82"/>
      <c r="H35" s="82"/>
      <c r="I35" s="82"/>
      <c r="J35" s="82"/>
      <c r="K35" s="82"/>
      <c r="L35" s="82"/>
      <c r="M35" s="82"/>
      <c r="N35" s="82"/>
      <c r="O35" s="82"/>
      <c r="P35" s="82"/>
      <c r="Q35" s="82"/>
      <c r="R35" s="82"/>
      <c r="S35" s="82"/>
      <c r="T35" s="82"/>
      <c r="U35" s="82"/>
      <c r="V35" s="82"/>
      <c r="W35" s="82"/>
      <c r="X35" s="82"/>
      <c r="Y35" s="82"/>
      <c r="Z35" s="82"/>
    </row>
    <row r="36">
      <c r="A36" s="94"/>
      <c r="B36" s="90" t="s">
        <v>104</v>
      </c>
      <c r="C36" s="91" t="s">
        <v>115</v>
      </c>
      <c r="D36" s="94"/>
      <c r="E36" s="93">
        <v>0.0825</v>
      </c>
      <c r="F36" s="82"/>
      <c r="G36" s="82"/>
      <c r="H36" s="82"/>
      <c r="I36" s="82"/>
      <c r="J36" s="82"/>
      <c r="K36" s="82"/>
      <c r="L36" s="82"/>
      <c r="M36" s="82"/>
      <c r="N36" s="82"/>
      <c r="O36" s="82"/>
      <c r="P36" s="82"/>
      <c r="Q36" s="82"/>
      <c r="R36" s="82"/>
      <c r="S36" s="82"/>
      <c r="T36" s="82"/>
      <c r="U36" s="82"/>
      <c r="V36" s="82"/>
      <c r="W36" s="82"/>
      <c r="X36" s="82"/>
      <c r="Y36" s="82"/>
      <c r="Z36" s="82"/>
    </row>
    <row r="37">
      <c r="A37" s="94"/>
      <c r="B37" s="90" t="s">
        <v>116</v>
      </c>
      <c r="C37" s="91" t="s">
        <v>116</v>
      </c>
      <c r="D37" s="94"/>
      <c r="E37" s="93">
        <v>0.0825</v>
      </c>
      <c r="F37" s="82"/>
      <c r="G37" s="82"/>
      <c r="H37" s="82"/>
      <c r="I37" s="82"/>
      <c r="J37" s="82"/>
      <c r="K37" s="82"/>
      <c r="L37" s="82"/>
      <c r="M37" s="82"/>
      <c r="N37" s="82"/>
      <c r="O37" s="82"/>
      <c r="P37" s="82"/>
      <c r="Q37" s="82"/>
      <c r="R37" s="82"/>
      <c r="S37" s="82"/>
      <c r="T37" s="82"/>
      <c r="U37" s="82"/>
      <c r="V37" s="82"/>
      <c r="W37" s="82"/>
      <c r="X37" s="82"/>
      <c r="Y37" s="82"/>
      <c r="Z37" s="82"/>
    </row>
    <row r="38">
      <c r="A38" s="95"/>
      <c r="B38" s="90" t="s">
        <v>117</v>
      </c>
      <c r="C38" s="91" t="s">
        <v>117</v>
      </c>
      <c r="D38" s="95"/>
      <c r="E38" s="93">
        <v>0.0825</v>
      </c>
      <c r="F38" s="82"/>
      <c r="G38" s="82"/>
      <c r="H38" s="82"/>
      <c r="I38" s="82"/>
      <c r="J38" s="82"/>
      <c r="K38" s="82"/>
      <c r="L38" s="82"/>
      <c r="M38" s="82"/>
      <c r="N38" s="82"/>
      <c r="O38" s="82"/>
      <c r="P38" s="82"/>
      <c r="Q38" s="82"/>
      <c r="R38" s="82"/>
      <c r="S38" s="82"/>
      <c r="T38" s="82"/>
      <c r="U38" s="82"/>
      <c r="V38" s="82"/>
      <c r="W38" s="82"/>
      <c r="X38" s="82"/>
      <c r="Y38" s="82"/>
      <c r="Z38" s="82"/>
    </row>
    <row r="39">
      <c r="A39" s="89" t="s">
        <v>118</v>
      </c>
      <c r="B39" s="90" t="s">
        <v>119</v>
      </c>
      <c r="C39" s="91" t="s">
        <v>120</v>
      </c>
      <c r="D39" s="92" t="s">
        <v>64</v>
      </c>
      <c r="E39" s="93">
        <v>0.09</v>
      </c>
      <c r="F39" s="82"/>
      <c r="G39" s="82"/>
      <c r="H39" s="82"/>
      <c r="I39" s="82"/>
      <c r="J39" s="82"/>
      <c r="K39" s="82"/>
      <c r="L39" s="82"/>
      <c r="M39" s="82"/>
      <c r="N39" s="82"/>
      <c r="O39" s="82"/>
      <c r="P39" s="82"/>
      <c r="Q39" s="82"/>
      <c r="R39" s="82"/>
      <c r="S39" s="82"/>
      <c r="T39" s="82"/>
      <c r="U39" s="82"/>
      <c r="V39" s="82"/>
      <c r="W39" s="82"/>
      <c r="X39" s="82"/>
      <c r="Y39" s="82"/>
      <c r="Z39" s="82"/>
    </row>
    <row r="40">
      <c r="A40" s="94"/>
      <c r="B40" s="90" t="s">
        <v>121</v>
      </c>
      <c r="C40" s="91" t="s">
        <v>121</v>
      </c>
      <c r="D40" s="94"/>
      <c r="E40" s="93">
        <v>0.09</v>
      </c>
      <c r="F40" s="82"/>
      <c r="G40" s="82"/>
      <c r="H40" s="82"/>
      <c r="I40" s="82"/>
      <c r="J40" s="82"/>
      <c r="K40" s="82"/>
      <c r="L40" s="82"/>
      <c r="M40" s="82"/>
      <c r="N40" s="82"/>
      <c r="O40" s="82"/>
      <c r="P40" s="82"/>
      <c r="Q40" s="82"/>
      <c r="R40" s="82"/>
      <c r="S40" s="82"/>
      <c r="T40" s="82"/>
      <c r="U40" s="82"/>
      <c r="V40" s="82"/>
      <c r="W40" s="82"/>
      <c r="X40" s="82"/>
      <c r="Y40" s="82"/>
      <c r="Z40" s="82"/>
    </row>
    <row r="41">
      <c r="A41" s="94"/>
      <c r="B41" s="90" t="s">
        <v>122</v>
      </c>
      <c r="C41" s="91" t="s">
        <v>122</v>
      </c>
      <c r="D41" s="94"/>
      <c r="E41" s="93">
        <v>0.09</v>
      </c>
      <c r="F41" s="82"/>
      <c r="G41" s="82"/>
      <c r="H41" s="82"/>
      <c r="I41" s="82"/>
      <c r="J41" s="82"/>
      <c r="K41" s="82"/>
      <c r="L41" s="82"/>
      <c r="M41" s="82"/>
      <c r="N41" s="82"/>
      <c r="O41" s="82"/>
      <c r="P41" s="82"/>
      <c r="Q41" s="82"/>
      <c r="R41" s="82"/>
      <c r="S41" s="82"/>
      <c r="T41" s="82"/>
      <c r="U41" s="82"/>
      <c r="V41" s="82"/>
      <c r="W41" s="82"/>
      <c r="X41" s="82"/>
      <c r="Y41" s="82"/>
      <c r="Z41" s="82"/>
    </row>
    <row r="42">
      <c r="A42" s="94"/>
      <c r="B42" s="90" t="s">
        <v>123</v>
      </c>
      <c r="C42" s="91" t="s">
        <v>123</v>
      </c>
      <c r="D42" s="94"/>
      <c r="E42" s="93">
        <v>0.09</v>
      </c>
      <c r="F42" s="82"/>
      <c r="G42" s="82"/>
      <c r="H42" s="82"/>
      <c r="I42" s="82"/>
      <c r="J42" s="82"/>
      <c r="K42" s="82"/>
      <c r="L42" s="82"/>
      <c r="M42" s="82"/>
      <c r="N42" s="82"/>
      <c r="O42" s="82"/>
      <c r="P42" s="82"/>
      <c r="Q42" s="82"/>
      <c r="R42" s="82"/>
      <c r="S42" s="82"/>
      <c r="T42" s="82"/>
      <c r="U42" s="82"/>
      <c r="V42" s="82"/>
      <c r="W42" s="82"/>
      <c r="X42" s="82"/>
      <c r="Y42" s="82"/>
      <c r="Z42" s="82"/>
    </row>
    <row r="43">
      <c r="A43" s="95"/>
      <c r="B43" s="90" t="s">
        <v>124</v>
      </c>
      <c r="C43" s="91" t="s">
        <v>124</v>
      </c>
      <c r="D43" s="95"/>
      <c r="E43" s="93">
        <v>0.09</v>
      </c>
      <c r="F43" s="82"/>
      <c r="G43" s="82"/>
      <c r="H43" s="82"/>
      <c r="I43" s="82"/>
      <c r="J43" s="82"/>
      <c r="K43" s="82"/>
      <c r="L43" s="82"/>
      <c r="M43" s="82"/>
      <c r="N43" s="82"/>
      <c r="O43" s="82"/>
      <c r="P43" s="82"/>
      <c r="Q43" s="82"/>
      <c r="R43" s="82"/>
      <c r="S43" s="82"/>
      <c r="T43" s="82"/>
      <c r="U43" s="82"/>
      <c r="V43" s="82"/>
      <c r="W43" s="82"/>
      <c r="X43" s="82"/>
      <c r="Y43" s="82"/>
      <c r="Z43" s="82"/>
    </row>
    <row r="44">
      <c r="A44" s="89" t="s">
        <v>125</v>
      </c>
      <c r="B44" s="90" t="s">
        <v>126</v>
      </c>
      <c r="C44" s="91" t="s">
        <v>127</v>
      </c>
      <c r="D44" s="86" t="s">
        <v>106</v>
      </c>
      <c r="E44" s="93">
        <v>0.1</v>
      </c>
      <c r="F44" s="82"/>
      <c r="G44" s="82"/>
      <c r="H44" s="82"/>
      <c r="I44" s="82"/>
      <c r="J44" s="82"/>
      <c r="K44" s="82"/>
      <c r="L44" s="82"/>
      <c r="M44" s="82"/>
      <c r="N44" s="82"/>
      <c r="O44" s="82"/>
      <c r="P44" s="82"/>
      <c r="Q44" s="82"/>
      <c r="R44" s="82"/>
      <c r="S44" s="82"/>
      <c r="T44" s="82"/>
      <c r="U44" s="82"/>
      <c r="V44" s="82"/>
      <c r="W44" s="82"/>
      <c r="X44" s="82"/>
      <c r="Y44" s="82"/>
      <c r="Z44" s="82"/>
    </row>
    <row r="45">
      <c r="A45" s="94"/>
      <c r="B45" s="90" t="s">
        <v>128</v>
      </c>
      <c r="C45" s="91" t="s">
        <v>129</v>
      </c>
      <c r="D45" s="92" t="s">
        <v>64</v>
      </c>
      <c r="E45" s="93">
        <v>0.09</v>
      </c>
      <c r="F45" s="82"/>
      <c r="G45" s="82"/>
      <c r="H45" s="82"/>
      <c r="I45" s="82"/>
      <c r="J45" s="82"/>
      <c r="K45" s="82"/>
      <c r="L45" s="82"/>
      <c r="M45" s="82"/>
      <c r="N45" s="82"/>
      <c r="O45" s="82"/>
      <c r="P45" s="82"/>
      <c r="Q45" s="82"/>
      <c r="R45" s="82"/>
      <c r="S45" s="82"/>
      <c r="T45" s="82"/>
      <c r="U45" s="82"/>
      <c r="V45" s="82"/>
      <c r="W45" s="82"/>
      <c r="X45" s="82"/>
      <c r="Y45" s="82"/>
      <c r="Z45" s="82"/>
    </row>
    <row r="46">
      <c r="A46" s="94"/>
      <c r="B46" s="90" t="s">
        <v>130</v>
      </c>
      <c r="C46" s="91" t="s">
        <v>130</v>
      </c>
      <c r="D46" s="94"/>
      <c r="E46" s="93">
        <v>0.09</v>
      </c>
      <c r="F46" s="82"/>
      <c r="G46" s="82"/>
      <c r="H46" s="82"/>
      <c r="I46" s="82"/>
      <c r="J46" s="82"/>
      <c r="K46" s="82"/>
      <c r="L46" s="82"/>
      <c r="M46" s="82"/>
      <c r="N46" s="82"/>
      <c r="O46" s="82"/>
      <c r="P46" s="82"/>
      <c r="Q46" s="82"/>
      <c r="R46" s="82"/>
      <c r="S46" s="82"/>
      <c r="T46" s="82"/>
      <c r="U46" s="82"/>
      <c r="V46" s="82"/>
      <c r="W46" s="82"/>
      <c r="X46" s="82"/>
      <c r="Y46" s="82"/>
      <c r="Z46" s="82"/>
    </row>
    <row r="47">
      <c r="A47" s="94"/>
      <c r="B47" s="90" t="s">
        <v>126</v>
      </c>
      <c r="C47" s="91" t="s">
        <v>131</v>
      </c>
      <c r="D47" s="94"/>
      <c r="E47" s="93">
        <v>0.09</v>
      </c>
      <c r="F47" s="82"/>
      <c r="G47" s="82"/>
      <c r="H47" s="82"/>
      <c r="I47" s="82"/>
      <c r="J47" s="82"/>
      <c r="K47" s="82"/>
      <c r="L47" s="82"/>
      <c r="M47" s="82"/>
      <c r="N47" s="82"/>
      <c r="O47" s="82"/>
      <c r="P47" s="82"/>
      <c r="Q47" s="82"/>
      <c r="R47" s="82"/>
      <c r="S47" s="82"/>
      <c r="T47" s="82"/>
      <c r="U47" s="82"/>
      <c r="V47" s="82"/>
      <c r="W47" s="82"/>
      <c r="X47" s="82"/>
      <c r="Y47" s="82"/>
      <c r="Z47" s="82"/>
    </row>
    <row r="48">
      <c r="A48" s="95"/>
      <c r="B48" s="90" t="s">
        <v>132</v>
      </c>
      <c r="C48" s="91" t="s">
        <v>132</v>
      </c>
      <c r="D48" s="95"/>
      <c r="E48" s="93">
        <v>0.09</v>
      </c>
      <c r="F48" s="82"/>
      <c r="G48" s="82"/>
      <c r="H48" s="82"/>
      <c r="I48" s="82"/>
      <c r="J48" s="82"/>
      <c r="K48" s="82"/>
      <c r="L48" s="82"/>
      <c r="M48" s="82"/>
      <c r="N48" s="82"/>
      <c r="O48" s="82"/>
      <c r="P48" s="82"/>
      <c r="Q48" s="82"/>
      <c r="R48" s="82"/>
      <c r="S48" s="82"/>
      <c r="T48" s="82"/>
      <c r="U48" s="82"/>
      <c r="V48" s="82"/>
      <c r="W48" s="82"/>
      <c r="X48" s="82"/>
      <c r="Y48" s="82"/>
      <c r="Z48" s="82"/>
    </row>
    <row r="49">
      <c r="A49" s="89" t="s">
        <v>133</v>
      </c>
      <c r="B49" s="90" t="s">
        <v>134</v>
      </c>
      <c r="C49" s="91" t="s">
        <v>134</v>
      </c>
      <c r="D49" s="86" t="s">
        <v>106</v>
      </c>
      <c r="E49" s="93">
        <v>0.1</v>
      </c>
      <c r="F49" s="82"/>
      <c r="G49" s="82"/>
      <c r="H49" s="82"/>
      <c r="I49" s="82"/>
      <c r="J49" s="82"/>
      <c r="K49" s="82"/>
      <c r="L49" s="82"/>
      <c r="M49" s="82"/>
      <c r="N49" s="82"/>
      <c r="O49" s="82"/>
      <c r="P49" s="82"/>
      <c r="Q49" s="82"/>
      <c r="R49" s="82"/>
      <c r="S49" s="82"/>
      <c r="T49" s="82"/>
      <c r="U49" s="82"/>
      <c r="V49" s="82"/>
      <c r="W49" s="82"/>
      <c r="X49" s="82"/>
      <c r="Y49" s="82"/>
      <c r="Z49" s="82"/>
    </row>
    <row r="50">
      <c r="A50" s="94"/>
      <c r="B50" s="90" t="s">
        <v>135</v>
      </c>
      <c r="C50" s="91" t="s">
        <v>136</v>
      </c>
      <c r="D50" s="92" t="s">
        <v>81</v>
      </c>
      <c r="E50" s="93">
        <v>0.0825</v>
      </c>
      <c r="F50" s="82"/>
      <c r="G50" s="82"/>
      <c r="H50" s="82"/>
      <c r="I50" s="82"/>
      <c r="J50" s="82"/>
      <c r="K50" s="82"/>
      <c r="L50" s="82"/>
      <c r="M50" s="82"/>
      <c r="N50" s="82"/>
      <c r="O50" s="82"/>
      <c r="P50" s="82"/>
      <c r="Q50" s="82"/>
      <c r="R50" s="82"/>
      <c r="S50" s="82"/>
      <c r="T50" s="82"/>
      <c r="U50" s="82"/>
      <c r="V50" s="82"/>
      <c r="W50" s="82"/>
      <c r="X50" s="82"/>
      <c r="Y50" s="82"/>
      <c r="Z50" s="82"/>
    </row>
    <row r="51">
      <c r="A51" s="94"/>
      <c r="B51" s="90" t="s">
        <v>137</v>
      </c>
      <c r="C51" s="91" t="s">
        <v>138</v>
      </c>
      <c r="D51" s="94"/>
      <c r="E51" s="93">
        <v>0.0825</v>
      </c>
      <c r="F51" s="82"/>
      <c r="G51" s="82"/>
      <c r="H51" s="82"/>
      <c r="I51" s="82"/>
      <c r="J51" s="82"/>
      <c r="K51" s="82"/>
      <c r="L51" s="82"/>
      <c r="M51" s="82"/>
      <c r="N51" s="82"/>
      <c r="O51" s="82"/>
      <c r="P51" s="82"/>
      <c r="Q51" s="82"/>
      <c r="R51" s="82"/>
      <c r="S51" s="82"/>
      <c r="T51" s="82"/>
      <c r="U51" s="82"/>
      <c r="V51" s="82"/>
      <c r="W51" s="82"/>
      <c r="X51" s="82"/>
      <c r="Y51" s="82"/>
      <c r="Z51" s="82"/>
    </row>
    <row r="52">
      <c r="A52" s="94"/>
      <c r="B52" s="90" t="s">
        <v>139</v>
      </c>
      <c r="C52" s="91" t="s">
        <v>139</v>
      </c>
      <c r="D52" s="94"/>
      <c r="E52" s="93">
        <v>0.0825</v>
      </c>
      <c r="F52" s="82"/>
      <c r="G52" s="82"/>
      <c r="H52" s="82"/>
      <c r="I52" s="82"/>
      <c r="J52" s="82"/>
      <c r="K52" s="82"/>
      <c r="L52" s="82"/>
      <c r="M52" s="82"/>
      <c r="N52" s="82"/>
      <c r="O52" s="82"/>
      <c r="P52" s="82"/>
      <c r="Q52" s="82"/>
      <c r="R52" s="82"/>
      <c r="S52" s="82"/>
      <c r="T52" s="82"/>
      <c r="U52" s="82"/>
      <c r="V52" s="82"/>
      <c r="W52" s="82"/>
      <c r="X52" s="82"/>
      <c r="Y52" s="82"/>
      <c r="Z52" s="82"/>
    </row>
    <row r="53">
      <c r="A53" s="94"/>
      <c r="B53" s="90" t="s">
        <v>140</v>
      </c>
      <c r="C53" s="91" t="s">
        <v>140</v>
      </c>
      <c r="D53" s="94"/>
      <c r="E53" s="93">
        <v>0.0825</v>
      </c>
      <c r="F53" s="82"/>
      <c r="G53" s="82"/>
      <c r="H53" s="82"/>
      <c r="I53" s="82"/>
      <c r="J53" s="82"/>
      <c r="K53" s="82"/>
      <c r="L53" s="82"/>
      <c r="M53" s="82"/>
      <c r="N53" s="82"/>
      <c r="O53" s="82"/>
      <c r="P53" s="82"/>
      <c r="Q53" s="82"/>
      <c r="R53" s="82"/>
      <c r="S53" s="82"/>
      <c r="T53" s="82"/>
      <c r="U53" s="82"/>
      <c r="V53" s="82"/>
      <c r="W53" s="82"/>
      <c r="X53" s="82"/>
      <c r="Y53" s="82"/>
      <c r="Z53" s="82"/>
    </row>
    <row r="54">
      <c r="A54" s="94"/>
      <c r="B54" s="90" t="s">
        <v>141</v>
      </c>
      <c r="C54" s="91" t="s">
        <v>142</v>
      </c>
      <c r="D54" s="94"/>
      <c r="E54" s="93">
        <v>0.0825</v>
      </c>
      <c r="F54" s="82"/>
      <c r="G54" s="82"/>
      <c r="H54" s="82"/>
      <c r="I54" s="82"/>
      <c r="J54" s="82"/>
      <c r="K54" s="82"/>
      <c r="L54" s="82"/>
      <c r="M54" s="82"/>
      <c r="N54" s="82"/>
      <c r="O54" s="82"/>
      <c r="P54" s="82"/>
      <c r="Q54" s="82"/>
      <c r="R54" s="82"/>
      <c r="S54" s="82"/>
      <c r="T54" s="82"/>
      <c r="U54" s="82"/>
      <c r="V54" s="82"/>
      <c r="W54" s="82"/>
      <c r="X54" s="82"/>
      <c r="Y54" s="82"/>
      <c r="Z54" s="82"/>
    </row>
    <row r="55">
      <c r="A55" s="94"/>
      <c r="B55" s="90" t="s">
        <v>143</v>
      </c>
      <c r="C55" s="91" t="s">
        <v>144</v>
      </c>
      <c r="D55" s="94"/>
      <c r="E55" s="93">
        <v>0.0825</v>
      </c>
      <c r="F55" s="82"/>
      <c r="G55" s="82"/>
      <c r="H55" s="82"/>
      <c r="I55" s="82"/>
      <c r="J55" s="82"/>
      <c r="K55" s="82"/>
      <c r="L55" s="82"/>
      <c r="M55" s="82"/>
      <c r="N55" s="82"/>
      <c r="O55" s="82"/>
      <c r="P55" s="82"/>
      <c r="Q55" s="82"/>
      <c r="R55" s="82"/>
      <c r="S55" s="82"/>
      <c r="T55" s="82"/>
      <c r="U55" s="82"/>
      <c r="V55" s="82"/>
      <c r="W55" s="82"/>
      <c r="X55" s="82"/>
      <c r="Y55" s="82"/>
      <c r="Z55" s="82"/>
    </row>
    <row r="56">
      <c r="A56" s="94"/>
      <c r="B56" s="90" t="s">
        <v>145</v>
      </c>
      <c r="C56" s="91" t="s">
        <v>146</v>
      </c>
      <c r="D56" s="94"/>
      <c r="E56" s="93">
        <v>0.0825</v>
      </c>
      <c r="F56" s="82"/>
      <c r="G56" s="82"/>
      <c r="H56" s="82"/>
      <c r="I56" s="82"/>
      <c r="J56" s="82"/>
      <c r="K56" s="82"/>
      <c r="L56" s="82"/>
      <c r="M56" s="82"/>
      <c r="N56" s="82"/>
      <c r="O56" s="82"/>
      <c r="P56" s="82"/>
      <c r="Q56" s="82"/>
      <c r="R56" s="82"/>
      <c r="S56" s="82"/>
      <c r="T56" s="82"/>
      <c r="U56" s="82"/>
      <c r="V56" s="82"/>
      <c r="W56" s="82"/>
      <c r="X56" s="82"/>
      <c r="Y56" s="82"/>
      <c r="Z56" s="82"/>
    </row>
    <row r="57">
      <c r="A57" s="94"/>
      <c r="B57" s="90" t="s">
        <v>147</v>
      </c>
      <c r="C57" s="91" t="s">
        <v>147</v>
      </c>
      <c r="D57" s="94"/>
      <c r="E57" s="93">
        <v>0.0825</v>
      </c>
      <c r="F57" s="82"/>
      <c r="G57" s="82"/>
      <c r="H57" s="82"/>
      <c r="I57" s="82"/>
      <c r="J57" s="82"/>
      <c r="K57" s="82"/>
      <c r="L57" s="82"/>
      <c r="M57" s="82"/>
      <c r="N57" s="82"/>
      <c r="O57" s="82"/>
      <c r="P57" s="82"/>
      <c r="Q57" s="82"/>
      <c r="R57" s="82"/>
      <c r="S57" s="82"/>
      <c r="T57" s="82"/>
      <c r="U57" s="82"/>
      <c r="V57" s="82"/>
      <c r="W57" s="82"/>
      <c r="X57" s="82"/>
      <c r="Y57" s="82"/>
      <c r="Z57" s="82"/>
    </row>
    <row r="58">
      <c r="A58" s="94"/>
      <c r="B58" s="90" t="s">
        <v>148</v>
      </c>
      <c r="C58" s="91" t="s">
        <v>149</v>
      </c>
      <c r="D58" s="94"/>
      <c r="E58" s="93">
        <v>0.0825</v>
      </c>
      <c r="F58" s="82"/>
      <c r="G58" s="82"/>
      <c r="H58" s="82"/>
      <c r="I58" s="82"/>
      <c r="J58" s="82"/>
      <c r="K58" s="82"/>
      <c r="L58" s="82"/>
      <c r="M58" s="82"/>
      <c r="N58" s="82"/>
      <c r="O58" s="82"/>
      <c r="P58" s="82"/>
      <c r="Q58" s="82"/>
      <c r="R58" s="82"/>
      <c r="S58" s="82"/>
      <c r="T58" s="82"/>
      <c r="U58" s="82"/>
      <c r="V58" s="82"/>
      <c r="W58" s="82"/>
      <c r="X58" s="82"/>
      <c r="Y58" s="82"/>
      <c r="Z58" s="82"/>
    </row>
    <row r="59">
      <c r="A59" s="94"/>
      <c r="B59" s="90" t="s">
        <v>150</v>
      </c>
      <c r="C59" s="91" t="s">
        <v>150</v>
      </c>
      <c r="D59" s="94"/>
      <c r="E59" s="93">
        <v>0.0825</v>
      </c>
      <c r="F59" s="82"/>
      <c r="G59" s="82"/>
      <c r="H59" s="82"/>
      <c r="I59" s="82"/>
      <c r="J59" s="82"/>
      <c r="K59" s="82"/>
      <c r="L59" s="82"/>
      <c r="M59" s="82"/>
      <c r="N59" s="82"/>
      <c r="O59" s="82"/>
      <c r="P59" s="82"/>
      <c r="Q59" s="82"/>
      <c r="R59" s="82"/>
      <c r="S59" s="82"/>
      <c r="T59" s="82"/>
      <c r="U59" s="82"/>
      <c r="V59" s="82"/>
      <c r="W59" s="82"/>
      <c r="X59" s="82"/>
      <c r="Y59" s="82"/>
      <c r="Z59" s="82"/>
    </row>
    <row r="60">
      <c r="A60" s="94"/>
      <c r="B60" s="90" t="s">
        <v>151</v>
      </c>
      <c r="C60" s="91" t="s">
        <v>151</v>
      </c>
      <c r="D60" s="94"/>
      <c r="E60" s="93">
        <v>0.0825</v>
      </c>
      <c r="F60" s="82"/>
      <c r="G60" s="82"/>
      <c r="H60" s="82"/>
      <c r="I60" s="82"/>
      <c r="J60" s="82"/>
      <c r="K60" s="82"/>
      <c r="L60" s="82"/>
      <c r="M60" s="82"/>
      <c r="N60" s="82"/>
      <c r="O60" s="82"/>
      <c r="P60" s="82"/>
      <c r="Q60" s="82"/>
      <c r="R60" s="82"/>
      <c r="S60" s="82"/>
      <c r="T60" s="82"/>
      <c r="U60" s="82"/>
      <c r="V60" s="82"/>
      <c r="W60" s="82"/>
      <c r="X60" s="82"/>
      <c r="Y60" s="82"/>
      <c r="Z60" s="82"/>
    </row>
    <row r="61">
      <c r="A61" s="94"/>
      <c r="B61" s="90" t="s">
        <v>152</v>
      </c>
      <c r="C61" s="91" t="s">
        <v>153</v>
      </c>
      <c r="D61" s="94"/>
      <c r="E61" s="93">
        <v>0.0825</v>
      </c>
      <c r="F61" s="82"/>
      <c r="G61" s="82"/>
      <c r="H61" s="82"/>
      <c r="I61" s="82"/>
      <c r="J61" s="82"/>
      <c r="K61" s="82"/>
      <c r="L61" s="82"/>
      <c r="M61" s="82"/>
      <c r="N61" s="82"/>
      <c r="O61" s="82"/>
      <c r="P61" s="82"/>
      <c r="Q61" s="82"/>
      <c r="R61" s="82"/>
      <c r="S61" s="82"/>
      <c r="T61" s="82"/>
      <c r="U61" s="82"/>
      <c r="V61" s="82"/>
      <c r="W61" s="82"/>
      <c r="X61" s="82"/>
      <c r="Y61" s="82"/>
      <c r="Z61" s="82"/>
    </row>
    <row r="62">
      <c r="A62" s="94"/>
      <c r="B62" s="90" t="s">
        <v>154</v>
      </c>
      <c r="C62" s="91" t="s">
        <v>154</v>
      </c>
      <c r="D62" s="94"/>
      <c r="E62" s="93">
        <v>0.0825</v>
      </c>
      <c r="F62" s="82"/>
      <c r="G62" s="82"/>
      <c r="H62" s="82"/>
      <c r="I62" s="82"/>
      <c r="J62" s="82"/>
      <c r="K62" s="82"/>
      <c r="L62" s="82"/>
      <c r="M62" s="82"/>
      <c r="N62" s="82"/>
      <c r="O62" s="82"/>
      <c r="P62" s="82"/>
      <c r="Q62" s="82"/>
      <c r="R62" s="82"/>
      <c r="S62" s="82"/>
      <c r="T62" s="82"/>
      <c r="U62" s="82"/>
      <c r="V62" s="82"/>
      <c r="W62" s="82"/>
      <c r="X62" s="82"/>
      <c r="Y62" s="82"/>
      <c r="Z62" s="82"/>
    </row>
    <row r="63">
      <c r="A63" s="94"/>
      <c r="B63" s="90" t="s">
        <v>155</v>
      </c>
      <c r="C63" s="91" t="s">
        <v>155</v>
      </c>
      <c r="D63" s="94"/>
      <c r="E63" s="93">
        <v>0.0825</v>
      </c>
      <c r="F63" s="82"/>
      <c r="G63" s="82"/>
      <c r="H63" s="82"/>
      <c r="I63" s="82"/>
      <c r="J63" s="82"/>
      <c r="K63" s="82"/>
      <c r="L63" s="82"/>
      <c r="M63" s="82"/>
      <c r="N63" s="82"/>
      <c r="O63" s="82"/>
      <c r="P63" s="82"/>
      <c r="Q63" s="82"/>
      <c r="R63" s="82"/>
      <c r="S63" s="82"/>
      <c r="T63" s="82"/>
      <c r="U63" s="82"/>
      <c r="V63" s="82"/>
      <c r="W63" s="82"/>
      <c r="X63" s="82"/>
      <c r="Y63" s="82"/>
      <c r="Z63" s="82"/>
    </row>
    <row r="64">
      <c r="A64" s="95"/>
      <c r="B64" s="90" t="s">
        <v>156</v>
      </c>
      <c r="C64" s="91" t="s">
        <v>156</v>
      </c>
      <c r="D64" s="95"/>
      <c r="E64" s="93">
        <v>0.0825</v>
      </c>
      <c r="F64" s="82"/>
      <c r="G64" s="82"/>
      <c r="H64" s="82"/>
      <c r="I64" s="82"/>
      <c r="J64" s="82"/>
      <c r="K64" s="82"/>
      <c r="L64" s="82"/>
      <c r="M64" s="82"/>
      <c r="N64" s="82"/>
      <c r="O64" s="82"/>
      <c r="P64" s="82"/>
      <c r="Q64" s="82"/>
      <c r="R64" s="82"/>
      <c r="S64" s="82"/>
      <c r="T64" s="82"/>
      <c r="U64" s="82"/>
      <c r="V64" s="82"/>
      <c r="W64" s="82"/>
      <c r="X64" s="82"/>
      <c r="Y64" s="82"/>
      <c r="Z64" s="82"/>
    </row>
    <row r="65">
      <c r="A65" s="89" t="s">
        <v>157</v>
      </c>
      <c r="B65" s="90" t="s">
        <v>158</v>
      </c>
      <c r="C65" s="91" t="s">
        <v>134</v>
      </c>
      <c r="D65" s="86" t="s">
        <v>106</v>
      </c>
      <c r="E65" s="93">
        <v>0.1</v>
      </c>
      <c r="F65" s="82"/>
      <c r="G65" s="82"/>
      <c r="H65" s="82"/>
      <c r="I65" s="82"/>
      <c r="J65" s="82"/>
      <c r="K65" s="82"/>
      <c r="L65" s="82"/>
      <c r="M65" s="82"/>
      <c r="N65" s="82"/>
      <c r="O65" s="82"/>
      <c r="P65" s="82"/>
      <c r="Q65" s="82"/>
      <c r="R65" s="82"/>
      <c r="S65" s="82"/>
      <c r="T65" s="82"/>
      <c r="U65" s="82"/>
      <c r="V65" s="82"/>
      <c r="W65" s="82"/>
      <c r="X65" s="82"/>
      <c r="Y65" s="82"/>
      <c r="Z65" s="82"/>
    </row>
    <row r="66">
      <c r="A66" s="94"/>
      <c r="B66" s="90" t="s">
        <v>158</v>
      </c>
      <c r="C66" s="91" t="s">
        <v>159</v>
      </c>
      <c r="D66" s="86" t="s">
        <v>64</v>
      </c>
      <c r="E66" s="93">
        <v>0.09</v>
      </c>
      <c r="F66" s="82"/>
      <c r="G66" s="82"/>
      <c r="H66" s="82"/>
      <c r="I66" s="82"/>
      <c r="J66" s="82"/>
      <c r="K66" s="82"/>
      <c r="L66" s="82"/>
      <c r="M66" s="82"/>
      <c r="N66" s="82"/>
      <c r="O66" s="82"/>
      <c r="P66" s="82"/>
      <c r="Q66" s="82"/>
      <c r="R66" s="82"/>
      <c r="S66" s="82"/>
      <c r="T66" s="82"/>
      <c r="U66" s="82"/>
      <c r="V66" s="82"/>
      <c r="W66" s="82"/>
      <c r="X66" s="82"/>
      <c r="Y66" s="82"/>
      <c r="Z66" s="82"/>
    </row>
    <row r="67">
      <c r="A67" s="94"/>
      <c r="B67" s="90" t="s">
        <v>135</v>
      </c>
      <c r="C67" s="91" t="s">
        <v>160</v>
      </c>
      <c r="D67" s="92" t="s">
        <v>81</v>
      </c>
      <c r="E67" s="93">
        <v>0.0825</v>
      </c>
      <c r="F67" s="82"/>
      <c r="G67" s="82"/>
      <c r="H67" s="82"/>
      <c r="I67" s="82"/>
      <c r="J67" s="82"/>
      <c r="K67" s="82"/>
      <c r="L67" s="82"/>
      <c r="M67" s="82"/>
      <c r="N67" s="82"/>
      <c r="O67" s="82"/>
      <c r="P67" s="82"/>
      <c r="Q67" s="82"/>
      <c r="R67" s="82"/>
      <c r="S67" s="82"/>
      <c r="T67" s="82"/>
      <c r="U67" s="82"/>
      <c r="V67" s="82"/>
      <c r="W67" s="82"/>
      <c r="X67" s="82"/>
      <c r="Y67" s="82"/>
      <c r="Z67" s="82"/>
    </row>
    <row r="68">
      <c r="A68" s="94"/>
      <c r="B68" s="90" t="s">
        <v>161</v>
      </c>
      <c r="C68" s="91" t="s">
        <v>162</v>
      </c>
      <c r="D68" s="94"/>
      <c r="E68" s="93">
        <v>0.0825</v>
      </c>
      <c r="F68" s="82"/>
      <c r="G68" s="82"/>
      <c r="H68" s="82"/>
      <c r="I68" s="82"/>
      <c r="J68" s="82"/>
      <c r="K68" s="82"/>
      <c r="L68" s="82"/>
      <c r="M68" s="82"/>
      <c r="N68" s="82"/>
      <c r="O68" s="82"/>
      <c r="P68" s="82"/>
      <c r="Q68" s="82"/>
      <c r="R68" s="82"/>
      <c r="S68" s="82"/>
      <c r="T68" s="82"/>
      <c r="U68" s="82"/>
      <c r="V68" s="82"/>
      <c r="W68" s="82"/>
      <c r="X68" s="82"/>
      <c r="Y68" s="82"/>
      <c r="Z68" s="82"/>
    </row>
    <row r="69">
      <c r="A69" s="94"/>
      <c r="B69" s="90" t="s">
        <v>163</v>
      </c>
      <c r="C69" s="91" t="s">
        <v>163</v>
      </c>
      <c r="D69" s="94"/>
      <c r="E69" s="93">
        <v>0.0825</v>
      </c>
      <c r="F69" s="82"/>
      <c r="G69" s="82"/>
      <c r="H69" s="82"/>
      <c r="I69" s="82"/>
      <c r="J69" s="82"/>
      <c r="K69" s="82"/>
      <c r="L69" s="82"/>
      <c r="M69" s="82"/>
      <c r="N69" s="82"/>
      <c r="O69" s="82"/>
      <c r="P69" s="82"/>
      <c r="Q69" s="82"/>
      <c r="R69" s="82"/>
      <c r="S69" s="82"/>
      <c r="T69" s="82"/>
      <c r="U69" s="82"/>
      <c r="V69" s="82"/>
      <c r="W69" s="82"/>
      <c r="X69" s="82"/>
      <c r="Y69" s="82"/>
      <c r="Z69" s="82"/>
    </row>
    <row r="70">
      <c r="A70" s="94"/>
      <c r="B70" s="90" t="s">
        <v>164</v>
      </c>
      <c r="C70" s="91" t="s">
        <v>165</v>
      </c>
      <c r="D70" s="94"/>
      <c r="E70" s="93">
        <v>0.0825</v>
      </c>
      <c r="F70" s="82"/>
      <c r="G70" s="82"/>
      <c r="H70" s="82"/>
      <c r="I70" s="82"/>
      <c r="J70" s="82"/>
      <c r="K70" s="82"/>
      <c r="L70" s="82"/>
      <c r="M70" s="82"/>
      <c r="N70" s="82"/>
      <c r="O70" s="82"/>
      <c r="P70" s="82"/>
      <c r="Q70" s="82"/>
      <c r="R70" s="82"/>
      <c r="S70" s="82"/>
      <c r="T70" s="82"/>
      <c r="U70" s="82"/>
      <c r="V70" s="82"/>
      <c r="W70" s="82"/>
      <c r="X70" s="82"/>
      <c r="Y70" s="82"/>
      <c r="Z70" s="82"/>
    </row>
    <row r="71">
      <c r="A71" s="94"/>
      <c r="B71" s="90" t="s">
        <v>140</v>
      </c>
      <c r="C71" s="91" t="s">
        <v>166</v>
      </c>
      <c r="D71" s="94"/>
      <c r="E71" s="93">
        <v>0.0825</v>
      </c>
      <c r="F71" s="82"/>
      <c r="G71" s="82"/>
      <c r="H71" s="82"/>
      <c r="I71" s="82"/>
      <c r="J71" s="82"/>
      <c r="K71" s="82"/>
      <c r="L71" s="82"/>
      <c r="M71" s="82"/>
      <c r="N71" s="82"/>
      <c r="O71" s="82"/>
      <c r="P71" s="82"/>
      <c r="Q71" s="82"/>
      <c r="R71" s="82"/>
      <c r="S71" s="82"/>
      <c r="T71" s="82"/>
      <c r="U71" s="82"/>
      <c r="V71" s="82"/>
      <c r="W71" s="82"/>
      <c r="X71" s="82"/>
      <c r="Y71" s="82"/>
      <c r="Z71" s="82"/>
    </row>
    <row r="72">
      <c r="A72" s="94"/>
      <c r="B72" s="90" t="s">
        <v>167</v>
      </c>
      <c r="C72" s="91" t="s">
        <v>167</v>
      </c>
      <c r="D72" s="94"/>
      <c r="E72" s="93">
        <v>0.0825</v>
      </c>
      <c r="F72" s="82"/>
      <c r="G72" s="82"/>
      <c r="H72" s="82"/>
      <c r="I72" s="82"/>
      <c r="J72" s="82"/>
      <c r="K72" s="82"/>
      <c r="L72" s="82"/>
      <c r="M72" s="82"/>
      <c r="N72" s="82"/>
      <c r="O72" s="82"/>
      <c r="P72" s="82"/>
      <c r="Q72" s="82"/>
      <c r="R72" s="82"/>
      <c r="S72" s="82"/>
      <c r="T72" s="82"/>
      <c r="U72" s="82"/>
      <c r="V72" s="82"/>
      <c r="W72" s="82"/>
      <c r="X72" s="82"/>
      <c r="Y72" s="82"/>
      <c r="Z72" s="82"/>
    </row>
    <row r="73">
      <c r="A73" s="94"/>
      <c r="B73" s="90" t="s">
        <v>141</v>
      </c>
      <c r="C73" s="91" t="s">
        <v>168</v>
      </c>
      <c r="D73" s="94"/>
      <c r="E73" s="93">
        <v>0.0825</v>
      </c>
      <c r="F73" s="82"/>
      <c r="G73" s="82"/>
      <c r="H73" s="82"/>
      <c r="I73" s="82"/>
      <c r="J73" s="82"/>
      <c r="K73" s="82"/>
      <c r="L73" s="82"/>
      <c r="M73" s="82"/>
      <c r="N73" s="82"/>
      <c r="O73" s="82"/>
      <c r="P73" s="82"/>
      <c r="Q73" s="82"/>
      <c r="R73" s="82"/>
      <c r="S73" s="82"/>
      <c r="T73" s="82"/>
      <c r="U73" s="82"/>
      <c r="V73" s="82"/>
      <c r="W73" s="82"/>
      <c r="X73" s="82"/>
      <c r="Y73" s="82"/>
      <c r="Z73" s="82"/>
    </row>
    <row r="74">
      <c r="A74" s="94"/>
      <c r="B74" s="90" t="s">
        <v>143</v>
      </c>
      <c r="C74" s="91" t="s">
        <v>169</v>
      </c>
      <c r="D74" s="94"/>
      <c r="E74" s="93">
        <v>0.0825</v>
      </c>
      <c r="F74" s="82"/>
      <c r="G74" s="82"/>
      <c r="H74" s="82"/>
      <c r="I74" s="82"/>
      <c r="J74" s="82"/>
      <c r="K74" s="82"/>
      <c r="L74" s="82"/>
      <c r="M74" s="82"/>
      <c r="N74" s="82"/>
      <c r="O74" s="82"/>
      <c r="P74" s="82"/>
      <c r="Q74" s="82"/>
      <c r="R74" s="82"/>
      <c r="S74" s="82"/>
      <c r="T74" s="82"/>
      <c r="U74" s="82"/>
      <c r="V74" s="82"/>
      <c r="W74" s="82"/>
      <c r="X74" s="82"/>
      <c r="Y74" s="82"/>
      <c r="Z74" s="82"/>
    </row>
    <row r="75">
      <c r="A75" s="94"/>
      <c r="B75" s="90" t="s">
        <v>170</v>
      </c>
      <c r="C75" s="91" t="s">
        <v>171</v>
      </c>
      <c r="D75" s="94"/>
      <c r="E75" s="93">
        <v>0.0825</v>
      </c>
      <c r="F75" s="82"/>
      <c r="G75" s="82"/>
      <c r="H75" s="82"/>
      <c r="I75" s="82"/>
      <c r="J75" s="82"/>
      <c r="K75" s="82"/>
      <c r="L75" s="82"/>
      <c r="M75" s="82"/>
      <c r="N75" s="82"/>
      <c r="O75" s="82"/>
      <c r="P75" s="82"/>
      <c r="Q75" s="82"/>
      <c r="R75" s="82"/>
      <c r="S75" s="82"/>
      <c r="T75" s="82"/>
      <c r="U75" s="82"/>
      <c r="V75" s="82"/>
      <c r="W75" s="82"/>
      <c r="X75" s="82"/>
      <c r="Y75" s="82"/>
      <c r="Z75" s="82"/>
    </row>
    <row r="76">
      <c r="A76" s="94"/>
      <c r="B76" s="90" t="s">
        <v>172</v>
      </c>
      <c r="C76" s="91" t="s">
        <v>173</v>
      </c>
      <c r="D76" s="94"/>
      <c r="E76" s="93">
        <v>0.0825</v>
      </c>
      <c r="F76" s="82"/>
      <c r="G76" s="82"/>
      <c r="H76" s="82"/>
      <c r="I76" s="82"/>
      <c r="J76" s="82"/>
      <c r="K76" s="82"/>
      <c r="L76" s="82"/>
      <c r="M76" s="82"/>
      <c r="N76" s="82"/>
      <c r="O76" s="82"/>
      <c r="P76" s="82"/>
      <c r="Q76" s="82"/>
      <c r="R76" s="82"/>
      <c r="S76" s="82"/>
      <c r="T76" s="82"/>
      <c r="U76" s="82"/>
      <c r="V76" s="82"/>
      <c r="W76" s="82"/>
      <c r="X76" s="82"/>
      <c r="Y76" s="82"/>
      <c r="Z76" s="82"/>
    </row>
    <row r="77">
      <c r="A77" s="94"/>
      <c r="B77" s="90" t="s">
        <v>147</v>
      </c>
      <c r="C77" s="91" t="s">
        <v>147</v>
      </c>
      <c r="D77" s="94"/>
      <c r="E77" s="93">
        <v>0.0825</v>
      </c>
      <c r="F77" s="82"/>
      <c r="G77" s="82"/>
      <c r="H77" s="82"/>
      <c r="I77" s="82"/>
      <c r="J77" s="82"/>
      <c r="K77" s="82"/>
      <c r="L77" s="82"/>
      <c r="M77" s="82"/>
      <c r="N77" s="82"/>
      <c r="O77" s="82"/>
      <c r="P77" s="82"/>
      <c r="Q77" s="82"/>
      <c r="R77" s="82"/>
      <c r="S77" s="82"/>
      <c r="T77" s="82"/>
      <c r="U77" s="82"/>
      <c r="V77" s="82"/>
      <c r="W77" s="82"/>
      <c r="X77" s="82"/>
      <c r="Y77" s="82"/>
      <c r="Z77" s="82"/>
    </row>
    <row r="78">
      <c r="A78" s="94"/>
      <c r="B78" s="90" t="s">
        <v>148</v>
      </c>
      <c r="C78" s="91" t="s">
        <v>174</v>
      </c>
      <c r="D78" s="94"/>
      <c r="E78" s="93">
        <v>0.0825</v>
      </c>
      <c r="F78" s="82"/>
      <c r="G78" s="82"/>
      <c r="H78" s="82"/>
      <c r="I78" s="82"/>
      <c r="J78" s="82"/>
      <c r="K78" s="82"/>
      <c r="L78" s="82"/>
      <c r="M78" s="82"/>
      <c r="N78" s="82"/>
      <c r="O78" s="82"/>
      <c r="P78" s="82"/>
      <c r="Q78" s="82"/>
      <c r="R78" s="82"/>
      <c r="S78" s="82"/>
      <c r="T78" s="82"/>
      <c r="U78" s="82"/>
      <c r="V78" s="82"/>
      <c r="W78" s="82"/>
      <c r="X78" s="82"/>
      <c r="Y78" s="82"/>
      <c r="Z78" s="82"/>
    </row>
    <row r="79">
      <c r="A79" s="94"/>
      <c r="B79" s="90" t="s">
        <v>175</v>
      </c>
      <c r="C79" s="91" t="s">
        <v>176</v>
      </c>
      <c r="D79" s="94"/>
      <c r="E79" s="93">
        <v>0.0825</v>
      </c>
      <c r="F79" s="82"/>
      <c r="G79" s="82"/>
      <c r="H79" s="82"/>
      <c r="I79" s="82"/>
      <c r="J79" s="82"/>
      <c r="K79" s="82"/>
      <c r="L79" s="82"/>
      <c r="M79" s="82"/>
      <c r="N79" s="82"/>
      <c r="O79" s="82"/>
      <c r="P79" s="82"/>
      <c r="Q79" s="82"/>
      <c r="R79" s="82"/>
      <c r="S79" s="82"/>
      <c r="T79" s="82"/>
      <c r="U79" s="82"/>
      <c r="V79" s="82"/>
      <c r="W79" s="82"/>
      <c r="X79" s="82"/>
      <c r="Y79" s="82"/>
      <c r="Z79" s="82"/>
    </row>
    <row r="80">
      <c r="A80" s="94"/>
      <c r="B80" s="90" t="s">
        <v>152</v>
      </c>
      <c r="C80" s="91" t="s">
        <v>177</v>
      </c>
      <c r="D80" s="94"/>
      <c r="E80" s="93">
        <v>0.0825</v>
      </c>
      <c r="F80" s="82"/>
      <c r="G80" s="82"/>
      <c r="H80" s="82"/>
      <c r="I80" s="82"/>
      <c r="J80" s="82"/>
      <c r="K80" s="82"/>
      <c r="L80" s="82"/>
      <c r="M80" s="82"/>
      <c r="N80" s="82"/>
      <c r="O80" s="82"/>
      <c r="P80" s="82"/>
      <c r="Q80" s="82"/>
      <c r="R80" s="82"/>
      <c r="S80" s="82"/>
      <c r="T80" s="82"/>
      <c r="U80" s="82"/>
      <c r="V80" s="82"/>
      <c r="W80" s="82"/>
      <c r="X80" s="82"/>
      <c r="Y80" s="82"/>
      <c r="Z80" s="82"/>
    </row>
    <row r="81">
      <c r="A81" s="94"/>
      <c r="B81" s="90" t="s">
        <v>178</v>
      </c>
      <c r="C81" s="91" t="s">
        <v>178</v>
      </c>
      <c r="D81" s="94"/>
      <c r="E81" s="93">
        <v>0.0825</v>
      </c>
      <c r="F81" s="82"/>
      <c r="G81" s="82"/>
      <c r="H81" s="82"/>
      <c r="I81" s="82"/>
      <c r="J81" s="82"/>
      <c r="K81" s="82"/>
      <c r="L81" s="82"/>
      <c r="M81" s="82"/>
      <c r="N81" s="82"/>
      <c r="O81" s="82"/>
      <c r="P81" s="82"/>
      <c r="Q81" s="82"/>
      <c r="R81" s="82"/>
      <c r="S81" s="82"/>
      <c r="T81" s="82"/>
      <c r="U81" s="82"/>
      <c r="V81" s="82"/>
      <c r="W81" s="82"/>
      <c r="X81" s="82"/>
      <c r="Y81" s="82"/>
      <c r="Z81" s="82"/>
    </row>
    <row r="82">
      <c r="A82" s="94"/>
      <c r="B82" s="90" t="s">
        <v>116</v>
      </c>
      <c r="C82" s="91" t="s">
        <v>179</v>
      </c>
      <c r="D82" s="94"/>
      <c r="E82" s="93">
        <v>0.0825</v>
      </c>
      <c r="F82" s="82"/>
      <c r="G82" s="82"/>
      <c r="H82" s="82"/>
      <c r="I82" s="82"/>
      <c r="J82" s="82"/>
      <c r="K82" s="82"/>
      <c r="L82" s="82"/>
      <c r="M82" s="82"/>
      <c r="N82" s="82"/>
      <c r="O82" s="82"/>
      <c r="P82" s="82"/>
      <c r="Q82" s="82"/>
      <c r="R82" s="82"/>
      <c r="S82" s="82"/>
      <c r="T82" s="82"/>
      <c r="U82" s="82"/>
      <c r="V82" s="82"/>
      <c r="W82" s="82"/>
      <c r="X82" s="82"/>
      <c r="Y82" s="82"/>
      <c r="Z82" s="82"/>
    </row>
    <row r="83">
      <c r="A83" s="94"/>
      <c r="B83" s="90" t="s">
        <v>155</v>
      </c>
      <c r="C83" s="91" t="s">
        <v>155</v>
      </c>
      <c r="D83" s="94"/>
      <c r="E83" s="93">
        <v>0.0825</v>
      </c>
      <c r="F83" s="82"/>
      <c r="G83" s="82"/>
      <c r="H83" s="82"/>
      <c r="I83" s="82"/>
      <c r="J83" s="82"/>
      <c r="K83" s="82"/>
      <c r="L83" s="82"/>
      <c r="M83" s="82"/>
      <c r="N83" s="82"/>
      <c r="O83" s="82"/>
      <c r="P83" s="82"/>
      <c r="Q83" s="82"/>
      <c r="R83" s="82"/>
      <c r="S83" s="82"/>
      <c r="T83" s="82"/>
      <c r="U83" s="82"/>
      <c r="V83" s="82"/>
      <c r="W83" s="82"/>
      <c r="X83" s="82"/>
      <c r="Y83" s="82"/>
      <c r="Z83" s="82"/>
    </row>
    <row r="84">
      <c r="A84" s="94"/>
      <c r="B84" s="90" t="s">
        <v>180</v>
      </c>
      <c r="C84" s="91" t="s">
        <v>180</v>
      </c>
      <c r="D84" s="94"/>
      <c r="E84" s="93">
        <v>0.0825</v>
      </c>
      <c r="F84" s="82"/>
      <c r="G84" s="82"/>
      <c r="H84" s="82"/>
      <c r="I84" s="82"/>
      <c r="J84" s="82"/>
      <c r="K84" s="82"/>
      <c r="L84" s="82"/>
      <c r="M84" s="82"/>
      <c r="N84" s="82"/>
      <c r="O84" s="82"/>
      <c r="P84" s="82"/>
      <c r="Q84" s="82"/>
      <c r="R84" s="82"/>
      <c r="S84" s="82"/>
      <c r="T84" s="82"/>
      <c r="U84" s="82"/>
      <c r="V84" s="82"/>
      <c r="W84" s="82"/>
      <c r="X84" s="82"/>
      <c r="Y84" s="82"/>
      <c r="Z84" s="82"/>
    </row>
    <row r="85">
      <c r="A85" s="95"/>
      <c r="B85" s="90" t="s">
        <v>181</v>
      </c>
      <c r="C85" s="91" t="s">
        <v>181</v>
      </c>
      <c r="D85" s="95"/>
      <c r="E85" s="93">
        <v>0.0825</v>
      </c>
      <c r="F85" s="82"/>
      <c r="G85" s="82"/>
      <c r="H85" s="82"/>
      <c r="I85" s="82"/>
      <c r="J85" s="82"/>
      <c r="K85" s="82"/>
      <c r="L85" s="82"/>
      <c r="M85" s="82"/>
      <c r="N85" s="82"/>
      <c r="O85" s="82"/>
      <c r="P85" s="82"/>
      <c r="Q85" s="82"/>
      <c r="R85" s="82"/>
      <c r="S85" s="82"/>
      <c r="T85" s="82"/>
      <c r="U85" s="82"/>
      <c r="V85" s="82"/>
      <c r="W85" s="82"/>
      <c r="X85" s="82"/>
      <c r="Y85" s="82"/>
      <c r="Z85" s="82"/>
    </row>
    <row r="86">
      <c r="A86" s="89" t="s">
        <v>182</v>
      </c>
      <c r="B86" s="90" t="s">
        <v>183</v>
      </c>
      <c r="C86" s="91" t="s">
        <v>184</v>
      </c>
      <c r="D86" s="92" t="s">
        <v>64</v>
      </c>
      <c r="E86" s="93">
        <v>0.09</v>
      </c>
      <c r="F86" s="82"/>
      <c r="G86" s="82"/>
      <c r="H86" s="82"/>
      <c r="I86" s="82"/>
      <c r="J86" s="82"/>
      <c r="K86" s="82"/>
      <c r="L86" s="82"/>
      <c r="M86" s="82"/>
      <c r="N86" s="82"/>
      <c r="O86" s="82"/>
      <c r="P86" s="82"/>
      <c r="Q86" s="82"/>
      <c r="R86" s="82"/>
      <c r="S86" s="82"/>
      <c r="T86" s="82"/>
      <c r="U86" s="82"/>
      <c r="V86" s="82"/>
      <c r="W86" s="82"/>
      <c r="X86" s="82"/>
      <c r="Y86" s="82"/>
      <c r="Z86" s="82"/>
    </row>
    <row r="87">
      <c r="A87" s="94"/>
      <c r="B87" s="90" t="s">
        <v>185</v>
      </c>
      <c r="C87" s="91" t="s">
        <v>186</v>
      </c>
      <c r="D87" s="94"/>
      <c r="E87" s="93">
        <v>0.09</v>
      </c>
      <c r="F87" s="82"/>
      <c r="G87" s="82"/>
      <c r="H87" s="82"/>
      <c r="I87" s="82"/>
      <c r="J87" s="82"/>
      <c r="K87" s="82"/>
      <c r="L87" s="82"/>
      <c r="M87" s="82"/>
      <c r="N87" s="82"/>
      <c r="O87" s="82"/>
      <c r="P87" s="82"/>
      <c r="Q87" s="82"/>
      <c r="R87" s="82"/>
      <c r="S87" s="82"/>
      <c r="T87" s="82"/>
      <c r="U87" s="82"/>
      <c r="V87" s="82"/>
      <c r="W87" s="82"/>
      <c r="X87" s="82"/>
      <c r="Y87" s="82"/>
      <c r="Z87" s="82"/>
    </row>
    <row r="88">
      <c r="A88" s="94"/>
      <c r="B88" s="90" t="s">
        <v>187</v>
      </c>
      <c r="C88" s="91" t="s">
        <v>187</v>
      </c>
      <c r="D88" s="94"/>
      <c r="E88" s="93">
        <v>0.09</v>
      </c>
      <c r="F88" s="82"/>
      <c r="G88" s="82"/>
      <c r="H88" s="82"/>
      <c r="I88" s="82"/>
      <c r="J88" s="82"/>
      <c r="K88" s="82"/>
      <c r="L88" s="82"/>
      <c r="M88" s="82"/>
      <c r="N88" s="82"/>
      <c r="O88" s="82"/>
      <c r="P88" s="82"/>
      <c r="Q88" s="82"/>
      <c r="R88" s="82"/>
      <c r="S88" s="82"/>
      <c r="T88" s="82"/>
      <c r="U88" s="82"/>
      <c r="V88" s="82"/>
      <c r="W88" s="82"/>
      <c r="X88" s="82"/>
      <c r="Y88" s="82"/>
      <c r="Z88" s="82"/>
    </row>
    <row r="89">
      <c r="A89" s="94"/>
      <c r="B89" s="90" t="s">
        <v>188</v>
      </c>
      <c r="C89" s="91" t="s">
        <v>188</v>
      </c>
      <c r="D89" s="94"/>
      <c r="E89" s="93">
        <v>0.09</v>
      </c>
      <c r="F89" s="82"/>
      <c r="G89" s="82"/>
      <c r="H89" s="82"/>
      <c r="I89" s="82"/>
      <c r="J89" s="82"/>
      <c r="K89" s="82"/>
      <c r="L89" s="82"/>
      <c r="M89" s="82"/>
      <c r="N89" s="82"/>
      <c r="O89" s="82"/>
      <c r="P89" s="82"/>
      <c r="Q89" s="82"/>
      <c r="R89" s="82"/>
      <c r="S89" s="82"/>
      <c r="T89" s="82"/>
      <c r="U89" s="82"/>
      <c r="V89" s="82"/>
      <c r="W89" s="82"/>
      <c r="X89" s="82"/>
      <c r="Y89" s="82"/>
      <c r="Z89" s="82"/>
    </row>
    <row r="90">
      <c r="A90" s="94"/>
      <c r="B90" s="90" t="s">
        <v>189</v>
      </c>
      <c r="C90" s="91" t="s">
        <v>190</v>
      </c>
      <c r="D90" s="94"/>
      <c r="E90" s="93">
        <v>0.09</v>
      </c>
      <c r="F90" s="82"/>
      <c r="G90" s="82"/>
      <c r="H90" s="82"/>
      <c r="I90" s="82"/>
      <c r="J90" s="82"/>
      <c r="K90" s="82"/>
      <c r="L90" s="82"/>
      <c r="M90" s="82"/>
      <c r="N90" s="82"/>
      <c r="O90" s="82"/>
      <c r="P90" s="82"/>
      <c r="Q90" s="82"/>
      <c r="R90" s="82"/>
      <c r="S90" s="82"/>
      <c r="T90" s="82"/>
      <c r="U90" s="82"/>
      <c r="V90" s="82"/>
      <c r="W90" s="82"/>
      <c r="X90" s="82"/>
      <c r="Y90" s="82"/>
      <c r="Z90" s="82"/>
    </row>
    <row r="91">
      <c r="A91" s="94"/>
      <c r="B91" s="90" t="s">
        <v>191</v>
      </c>
      <c r="C91" s="91" t="s">
        <v>191</v>
      </c>
      <c r="D91" s="94"/>
      <c r="E91" s="93">
        <v>0.09</v>
      </c>
      <c r="F91" s="82"/>
      <c r="G91" s="82"/>
      <c r="H91" s="82"/>
      <c r="I91" s="82"/>
      <c r="J91" s="82"/>
      <c r="K91" s="82"/>
      <c r="L91" s="82"/>
      <c r="M91" s="82"/>
      <c r="N91" s="82"/>
      <c r="O91" s="82"/>
      <c r="P91" s="82"/>
      <c r="Q91" s="82"/>
      <c r="R91" s="82"/>
      <c r="S91" s="82"/>
      <c r="T91" s="82"/>
      <c r="U91" s="82"/>
      <c r="V91" s="82"/>
      <c r="W91" s="82"/>
      <c r="X91" s="82"/>
      <c r="Y91" s="82"/>
      <c r="Z91" s="82"/>
    </row>
    <row r="92">
      <c r="A92" s="94"/>
      <c r="B92" s="90" t="s">
        <v>192</v>
      </c>
      <c r="C92" s="91" t="s">
        <v>192</v>
      </c>
      <c r="D92" s="94"/>
      <c r="E92" s="93">
        <v>0.09</v>
      </c>
      <c r="F92" s="82"/>
      <c r="G92" s="82"/>
      <c r="H92" s="82"/>
      <c r="I92" s="82"/>
      <c r="J92" s="82"/>
      <c r="K92" s="82"/>
      <c r="L92" s="82"/>
      <c r="M92" s="82"/>
      <c r="N92" s="82"/>
      <c r="O92" s="82"/>
      <c r="P92" s="82"/>
      <c r="Q92" s="82"/>
      <c r="R92" s="82"/>
      <c r="S92" s="82"/>
      <c r="T92" s="82"/>
      <c r="U92" s="82"/>
      <c r="V92" s="82"/>
      <c r="W92" s="82"/>
      <c r="X92" s="82"/>
      <c r="Y92" s="82"/>
      <c r="Z92" s="82"/>
    </row>
    <row r="93">
      <c r="A93" s="95"/>
      <c r="B93" s="90" t="s">
        <v>193</v>
      </c>
      <c r="C93" s="91" t="s">
        <v>193</v>
      </c>
      <c r="D93" s="95"/>
      <c r="E93" s="93">
        <v>0.09</v>
      </c>
      <c r="F93" s="82"/>
      <c r="G93" s="82"/>
      <c r="H93" s="82"/>
      <c r="I93" s="82"/>
      <c r="J93" s="82"/>
      <c r="K93" s="82"/>
      <c r="L93" s="82"/>
      <c r="M93" s="82"/>
      <c r="N93" s="82"/>
      <c r="O93" s="82"/>
      <c r="P93" s="82"/>
      <c r="Q93" s="82"/>
      <c r="R93" s="82"/>
      <c r="S93" s="82"/>
      <c r="T93" s="82"/>
      <c r="U93" s="82"/>
      <c r="V93" s="82"/>
      <c r="W93" s="82"/>
      <c r="X93" s="82"/>
      <c r="Y93" s="82"/>
      <c r="Z93" s="82"/>
    </row>
    <row r="94">
      <c r="A94" s="89" t="s">
        <v>194</v>
      </c>
      <c r="B94" s="90" t="s">
        <v>183</v>
      </c>
      <c r="C94" s="91" t="s">
        <v>195</v>
      </c>
      <c r="D94" s="92" t="s">
        <v>64</v>
      </c>
      <c r="E94" s="93">
        <v>0.09</v>
      </c>
      <c r="F94" s="82"/>
      <c r="G94" s="82"/>
      <c r="H94" s="82"/>
      <c r="I94" s="82"/>
      <c r="J94" s="82"/>
      <c r="K94" s="82"/>
      <c r="L94" s="82"/>
      <c r="M94" s="82"/>
      <c r="N94" s="82"/>
      <c r="O94" s="82"/>
      <c r="P94" s="82"/>
      <c r="Q94" s="82"/>
      <c r="R94" s="82"/>
      <c r="S94" s="82"/>
      <c r="T94" s="82"/>
      <c r="U94" s="82"/>
      <c r="V94" s="82"/>
      <c r="W94" s="82"/>
      <c r="X94" s="82"/>
      <c r="Y94" s="82"/>
      <c r="Z94" s="82"/>
    </row>
    <row r="95">
      <c r="A95" s="94"/>
      <c r="B95" s="90" t="s">
        <v>196</v>
      </c>
      <c r="C95" s="91" t="s">
        <v>197</v>
      </c>
      <c r="D95" s="94"/>
      <c r="E95" s="93">
        <v>0.09</v>
      </c>
      <c r="F95" s="82"/>
      <c r="G95" s="82"/>
      <c r="H95" s="82"/>
      <c r="I95" s="82"/>
      <c r="J95" s="82"/>
      <c r="K95" s="82"/>
      <c r="L95" s="82"/>
      <c r="M95" s="82"/>
      <c r="N95" s="82"/>
      <c r="O95" s="82"/>
      <c r="P95" s="82"/>
      <c r="Q95" s="82"/>
      <c r="R95" s="82"/>
      <c r="S95" s="82"/>
      <c r="T95" s="82"/>
      <c r="U95" s="82"/>
      <c r="V95" s="82"/>
      <c r="W95" s="82"/>
      <c r="X95" s="82"/>
      <c r="Y95" s="82"/>
      <c r="Z95" s="82"/>
    </row>
    <row r="96">
      <c r="A96" s="94"/>
      <c r="B96" s="90" t="s">
        <v>198</v>
      </c>
      <c r="C96" s="91" t="s">
        <v>198</v>
      </c>
      <c r="D96" s="94"/>
      <c r="E96" s="93">
        <v>0.09</v>
      </c>
      <c r="F96" s="82"/>
      <c r="G96" s="82"/>
      <c r="H96" s="82"/>
      <c r="I96" s="82"/>
      <c r="J96" s="82"/>
      <c r="K96" s="82"/>
      <c r="L96" s="82"/>
      <c r="M96" s="82"/>
      <c r="N96" s="82"/>
      <c r="O96" s="82"/>
      <c r="P96" s="82"/>
      <c r="Q96" s="82"/>
      <c r="R96" s="82"/>
      <c r="S96" s="82"/>
      <c r="T96" s="82"/>
      <c r="U96" s="82"/>
      <c r="V96" s="82"/>
      <c r="W96" s="82"/>
      <c r="X96" s="82"/>
      <c r="Y96" s="82"/>
      <c r="Z96" s="82"/>
    </row>
    <row r="97">
      <c r="A97" s="94"/>
      <c r="B97" s="90" t="s">
        <v>199</v>
      </c>
      <c r="C97" s="91" t="s">
        <v>200</v>
      </c>
      <c r="D97" s="94"/>
      <c r="E97" s="93">
        <v>0.09</v>
      </c>
      <c r="F97" s="82"/>
      <c r="G97" s="82"/>
      <c r="H97" s="82"/>
      <c r="I97" s="82"/>
      <c r="J97" s="82"/>
      <c r="K97" s="82"/>
      <c r="L97" s="82"/>
      <c r="M97" s="82"/>
      <c r="N97" s="82"/>
      <c r="O97" s="82"/>
      <c r="P97" s="82"/>
      <c r="Q97" s="82"/>
      <c r="R97" s="82"/>
      <c r="S97" s="82"/>
      <c r="T97" s="82"/>
      <c r="U97" s="82"/>
      <c r="V97" s="82"/>
      <c r="W97" s="82"/>
      <c r="X97" s="82"/>
      <c r="Y97" s="82"/>
      <c r="Z97" s="82"/>
    </row>
    <row r="98">
      <c r="A98" s="94"/>
      <c r="B98" s="90" t="s">
        <v>201</v>
      </c>
      <c r="C98" s="91" t="s">
        <v>202</v>
      </c>
      <c r="D98" s="94"/>
      <c r="E98" s="93">
        <v>0.09</v>
      </c>
      <c r="F98" s="82"/>
      <c r="G98" s="82"/>
      <c r="H98" s="82"/>
      <c r="I98" s="82"/>
      <c r="J98" s="82"/>
      <c r="K98" s="82"/>
      <c r="L98" s="82"/>
      <c r="M98" s="82"/>
      <c r="N98" s="82"/>
      <c r="O98" s="82"/>
      <c r="P98" s="82"/>
      <c r="Q98" s="82"/>
      <c r="R98" s="82"/>
      <c r="S98" s="82"/>
      <c r="T98" s="82"/>
      <c r="U98" s="82"/>
      <c r="V98" s="82"/>
      <c r="W98" s="82"/>
      <c r="X98" s="82"/>
      <c r="Y98" s="82"/>
      <c r="Z98" s="82"/>
    </row>
    <row r="99">
      <c r="A99" s="94"/>
      <c r="B99" s="90" t="s">
        <v>192</v>
      </c>
      <c r="C99" s="91" t="s">
        <v>192</v>
      </c>
      <c r="D99" s="94"/>
      <c r="E99" s="93">
        <v>0.09</v>
      </c>
      <c r="F99" s="82"/>
      <c r="G99" s="82"/>
      <c r="H99" s="82"/>
      <c r="I99" s="82"/>
      <c r="J99" s="82"/>
      <c r="K99" s="82"/>
      <c r="L99" s="82"/>
      <c r="M99" s="82"/>
      <c r="N99" s="82"/>
      <c r="O99" s="82"/>
      <c r="P99" s="82"/>
      <c r="Q99" s="82"/>
      <c r="R99" s="82"/>
      <c r="S99" s="82"/>
      <c r="T99" s="82"/>
      <c r="U99" s="82"/>
      <c r="V99" s="82"/>
      <c r="W99" s="82"/>
      <c r="X99" s="82"/>
      <c r="Y99" s="82"/>
      <c r="Z99" s="82"/>
    </row>
    <row r="100">
      <c r="A100" s="94"/>
      <c r="B100" s="90" t="s">
        <v>203</v>
      </c>
      <c r="C100" s="91" t="s">
        <v>203</v>
      </c>
      <c r="D100" s="94"/>
      <c r="E100" s="93">
        <v>0.09</v>
      </c>
      <c r="F100" s="82"/>
      <c r="G100" s="82"/>
      <c r="H100" s="82"/>
      <c r="I100" s="82"/>
      <c r="J100" s="82"/>
      <c r="K100" s="82"/>
      <c r="L100" s="82"/>
      <c r="M100" s="82"/>
      <c r="N100" s="82"/>
      <c r="O100" s="82"/>
      <c r="P100" s="82"/>
      <c r="Q100" s="82"/>
      <c r="R100" s="82"/>
      <c r="S100" s="82"/>
      <c r="T100" s="82"/>
      <c r="U100" s="82"/>
      <c r="V100" s="82"/>
      <c r="W100" s="82"/>
      <c r="X100" s="82"/>
      <c r="Y100" s="82"/>
      <c r="Z100" s="82"/>
    </row>
    <row r="101">
      <c r="A101" s="95"/>
      <c r="B101" s="90" t="s">
        <v>204</v>
      </c>
      <c r="C101" s="91" t="s">
        <v>204</v>
      </c>
      <c r="D101" s="95"/>
      <c r="E101" s="93">
        <v>0.09</v>
      </c>
      <c r="F101" s="82"/>
      <c r="G101" s="82"/>
      <c r="H101" s="82"/>
      <c r="I101" s="82"/>
      <c r="J101" s="82"/>
      <c r="K101" s="82"/>
      <c r="L101" s="82"/>
      <c r="M101" s="82"/>
      <c r="N101" s="82"/>
      <c r="O101" s="82"/>
      <c r="P101" s="82"/>
      <c r="Q101" s="82"/>
      <c r="R101" s="82"/>
      <c r="S101" s="82"/>
      <c r="T101" s="82"/>
      <c r="U101" s="82"/>
      <c r="V101" s="82"/>
      <c r="W101" s="82"/>
      <c r="X101" s="82"/>
      <c r="Y101" s="82"/>
      <c r="Z101" s="82"/>
    </row>
    <row r="102">
      <c r="A102" s="89" t="s">
        <v>205</v>
      </c>
      <c r="B102" s="90" t="s">
        <v>206</v>
      </c>
      <c r="C102" s="91" t="s">
        <v>206</v>
      </c>
      <c r="D102" s="92" t="s">
        <v>64</v>
      </c>
      <c r="E102" s="93">
        <v>0.09</v>
      </c>
      <c r="F102" s="82"/>
      <c r="G102" s="82"/>
      <c r="H102" s="82"/>
      <c r="I102" s="82"/>
      <c r="J102" s="82"/>
      <c r="K102" s="82"/>
      <c r="L102" s="82"/>
      <c r="M102" s="82"/>
      <c r="N102" s="82"/>
      <c r="O102" s="82"/>
      <c r="P102" s="82"/>
      <c r="Q102" s="82"/>
      <c r="R102" s="82"/>
      <c r="S102" s="82"/>
      <c r="T102" s="82"/>
      <c r="U102" s="82"/>
      <c r="V102" s="82"/>
      <c r="W102" s="82"/>
      <c r="X102" s="82"/>
      <c r="Y102" s="82"/>
      <c r="Z102" s="82"/>
    </row>
    <row r="103">
      <c r="A103" s="94"/>
      <c r="B103" s="90" t="s">
        <v>207</v>
      </c>
      <c r="C103" s="91" t="s">
        <v>208</v>
      </c>
      <c r="D103" s="94"/>
      <c r="E103" s="93">
        <v>0.0900000000000001</v>
      </c>
      <c r="F103" s="82"/>
      <c r="G103" s="82"/>
      <c r="H103" s="82"/>
      <c r="I103" s="82"/>
      <c r="J103" s="82"/>
      <c r="K103" s="82"/>
      <c r="L103" s="82"/>
      <c r="M103" s="82"/>
      <c r="N103" s="82"/>
      <c r="O103" s="82"/>
      <c r="P103" s="82"/>
      <c r="Q103" s="82"/>
      <c r="R103" s="82"/>
      <c r="S103" s="82"/>
      <c r="T103" s="82"/>
      <c r="U103" s="82"/>
      <c r="V103" s="82"/>
      <c r="W103" s="82"/>
      <c r="X103" s="82"/>
      <c r="Y103" s="82"/>
      <c r="Z103" s="82"/>
    </row>
    <row r="104">
      <c r="A104" s="94"/>
      <c r="B104" s="90" t="s">
        <v>209</v>
      </c>
      <c r="C104" s="91" t="s">
        <v>209</v>
      </c>
      <c r="D104" s="94"/>
      <c r="E104" s="93">
        <v>0.0900000000000001</v>
      </c>
      <c r="F104" s="82"/>
      <c r="G104" s="82"/>
      <c r="H104" s="82"/>
      <c r="I104" s="82"/>
      <c r="J104" s="82"/>
      <c r="K104" s="82"/>
      <c r="L104" s="82"/>
      <c r="M104" s="82"/>
      <c r="N104" s="82"/>
      <c r="O104" s="82"/>
      <c r="P104" s="82"/>
      <c r="Q104" s="82"/>
      <c r="R104" s="82"/>
      <c r="S104" s="82"/>
      <c r="T104" s="82"/>
      <c r="U104" s="82"/>
      <c r="V104" s="82"/>
      <c r="W104" s="82"/>
      <c r="X104" s="82"/>
      <c r="Y104" s="82"/>
      <c r="Z104" s="82"/>
    </row>
    <row r="105">
      <c r="A105" s="94"/>
      <c r="B105" s="90" t="s">
        <v>210</v>
      </c>
      <c r="C105" s="91" t="s">
        <v>210</v>
      </c>
      <c r="D105" s="94"/>
      <c r="E105" s="93">
        <v>0.0900000000000001</v>
      </c>
      <c r="F105" s="82"/>
      <c r="G105" s="82"/>
      <c r="H105" s="82"/>
      <c r="I105" s="82"/>
      <c r="J105" s="82"/>
      <c r="K105" s="82"/>
      <c r="L105" s="82"/>
      <c r="M105" s="82"/>
      <c r="N105" s="82"/>
      <c r="O105" s="82"/>
      <c r="P105" s="82"/>
      <c r="Q105" s="82"/>
      <c r="R105" s="82"/>
      <c r="S105" s="82"/>
      <c r="T105" s="82"/>
      <c r="U105" s="82"/>
      <c r="V105" s="82"/>
      <c r="W105" s="82"/>
      <c r="X105" s="82"/>
      <c r="Y105" s="82"/>
      <c r="Z105" s="82"/>
    </row>
    <row r="106">
      <c r="A106" s="94"/>
      <c r="B106" s="90" t="s">
        <v>211</v>
      </c>
      <c r="C106" s="91" t="s">
        <v>212</v>
      </c>
      <c r="D106" s="94"/>
      <c r="E106" s="93">
        <v>0.0900000000000001</v>
      </c>
      <c r="F106" s="82"/>
      <c r="G106" s="82"/>
      <c r="H106" s="82"/>
      <c r="I106" s="82"/>
      <c r="J106" s="82"/>
      <c r="K106" s="82"/>
      <c r="L106" s="82"/>
      <c r="M106" s="82"/>
      <c r="N106" s="82"/>
      <c r="O106" s="82"/>
      <c r="P106" s="82"/>
      <c r="Q106" s="82"/>
      <c r="R106" s="82"/>
      <c r="S106" s="82"/>
      <c r="T106" s="82"/>
      <c r="U106" s="82"/>
      <c r="V106" s="82"/>
      <c r="W106" s="82"/>
      <c r="X106" s="82"/>
      <c r="Y106" s="82"/>
      <c r="Z106" s="82"/>
    </row>
    <row r="107">
      <c r="A107" s="94"/>
      <c r="B107" s="90" t="s">
        <v>213</v>
      </c>
      <c r="C107" s="91" t="s">
        <v>213</v>
      </c>
      <c r="D107" s="94"/>
      <c r="E107" s="93">
        <v>0.0900000000000001</v>
      </c>
      <c r="F107" s="82"/>
      <c r="G107" s="82"/>
      <c r="H107" s="82"/>
      <c r="I107" s="82"/>
      <c r="J107" s="82"/>
      <c r="K107" s="82"/>
      <c r="L107" s="82"/>
      <c r="M107" s="82"/>
      <c r="N107" s="82"/>
      <c r="O107" s="82"/>
      <c r="P107" s="82"/>
      <c r="Q107" s="82"/>
      <c r="R107" s="82"/>
      <c r="S107" s="82"/>
      <c r="T107" s="82"/>
      <c r="U107" s="82"/>
      <c r="V107" s="82"/>
      <c r="W107" s="82"/>
      <c r="X107" s="82"/>
      <c r="Y107" s="82"/>
      <c r="Z107" s="82"/>
    </row>
    <row r="108">
      <c r="A108" s="94"/>
      <c r="B108" s="90" t="s">
        <v>214</v>
      </c>
      <c r="C108" s="91" t="s">
        <v>214</v>
      </c>
      <c r="D108" s="94"/>
      <c r="E108" s="93">
        <v>0.0900000000000002</v>
      </c>
      <c r="F108" s="82"/>
      <c r="G108" s="82"/>
      <c r="H108" s="82"/>
      <c r="I108" s="82"/>
      <c r="J108" s="82"/>
      <c r="K108" s="82"/>
      <c r="L108" s="82"/>
      <c r="M108" s="82"/>
      <c r="N108" s="82"/>
      <c r="O108" s="82"/>
      <c r="P108" s="82"/>
      <c r="Q108" s="82"/>
      <c r="R108" s="82"/>
      <c r="S108" s="82"/>
      <c r="T108" s="82"/>
      <c r="U108" s="82"/>
      <c r="V108" s="82"/>
      <c r="W108" s="82"/>
      <c r="X108" s="82"/>
      <c r="Y108" s="82"/>
      <c r="Z108" s="82"/>
    </row>
    <row r="109">
      <c r="A109" s="94"/>
      <c r="B109" s="90" t="s">
        <v>215</v>
      </c>
      <c r="C109" s="91" t="s">
        <v>215</v>
      </c>
      <c r="D109" s="94"/>
      <c r="E109" s="93">
        <v>0.0900000000000002</v>
      </c>
      <c r="F109" s="82"/>
      <c r="G109" s="82"/>
      <c r="H109" s="82"/>
      <c r="I109" s="82"/>
      <c r="J109" s="82"/>
      <c r="K109" s="82"/>
      <c r="L109" s="82"/>
      <c r="M109" s="82"/>
      <c r="N109" s="82"/>
      <c r="O109" s="82"/>
      <c r="P109" s="82"/>
      <c r="Q109" s="82"/>
      <c r="R109" s="82"/>
      <c r="S109" s="82"/>
      <c r="T109" s="82"/>
      <c r="U109" s="82"/>
      <c r="V109" s="82"/>
      <c r="W109" s="82"/>
      <c r="X109" s="82"/>
      <c r="Y109" s="82"/>
      <c r="Z109" s="82"/>
    </row>
    <row r="110">
      <c r="A110" s="95"/>
      <c r="B110" s="90" t="s">
        <v>216</v>
      </c>
      <c r="C110" s="91" t="s">
        <v>216</v>
      </c>
      <c r="D110" s="95"/>
      <c r="E110" s="93">
        <v>0.0900000000000002</v>
      </c>
      <c r="F110" s="82"/>
      <c r="G110" s="82"/>
      <c r="H110" s="82"/>
      <c r="I110" s="82"/>
      <c r="J110" s="82"/>
      <c r="K110" s="82"/>
      <c r="L110" s="82"/>
      <c r="M110" s="82"/>
      <c r="N110" s="82"/>
      <c r="O110" s="82"/>
      <c r="P110" s="82"/>
      <c r="Q110" s="82"/>
      <c r="R110" s="82"/>
      <c r="S110" s="82"/>
      <c r="T110" s="82"/>
      <c r="U110" s="82"/>
      <c r="V110" s="82"/>
      <c r="W110" s="82"/>
      <c r="X110" s="82"/>
      <c r="Y110" s="82"/>
      <c r="Z110" s="82"/>
    </row>
    <row r="111">
      <c r="A111" s="89" t="s">
        <v>217</v>
      </c>
      <c r="B111" s="90" t="s">
        <v>218</v>
      </c>
      <c r="C111" s="91" t="s">
        <v>219</v>
      </c>
      <c r="D111" s="92" t="s">
        <v>64</v>
      </c>
      <c r="E111" s="93">
        <v>0.0900000000000002</v>
      </c>
      <c r="F111" s="82"/>
      <c r="G111" s="82"/>
      <c r="H111" s="82"/>
      <c r="I111" s="82"/>
      <c r="J111" s="82"/>
      <c r="K111" s="82"/>
      <c r="L111" s="82"/>
      <c r="M111" s="82"/>
      <c r="N111" s="82"/>
      <c r="O111" s="82"/>
      <c r="P111" s="82"/>
      <c r="Q111" s="82"/>
      <c r="R111" s="82"/>
      <c r="S111" s="82"/>
      <c r="T111" s="82"/>
      <c r="U111" s="82"/>
      <c r="V111" s="82"/>
      <c r="W111" s="82"/>
      <c r="X111" s="82"/>
      <c r="Y111" s="82"/>
      <c r="Z111" s="82"/>
    </row>
    <row r="112">
      <c r="A112" s="94"/>
      <c r="B112" s="90" t="s">
        <v>206</v>
      </c>
      <c r="C112" s="91" t="s">
        <v>206</v>
      </c>
      <c r="D112" s="94"/>
      <c r="E112" s="93">
        <v>0.0900000000000002</v>
      </c>
      <c r="F112" s="82"/>
      <c r="G112" s="82"/>
      <c r="H112" s="82"/>
      <c r="I112" s="82"/>
      <c r="J112" s="82"/>
      <c r="K112" s="82"/>
      <c r="L112" s="82"/>
      <c r="M112" s="82"/>
      <c r="N112" s="82"/>
      <c r="O112" s="82"/>
      <c r="P112" s="82"/>
      <c r="Q112" s="82"/>
      <c r="R112" s="82"/>
      <c r="S112" s="82"/>
      <c r="T112" s="82"/>
      <c r="U112" s="82"/>
      <c r="V112" s="82"/>
      <c r="W112" s="82"/>
      <c r="X112" s="82"/>
      <c r="Y112" s="82"/>
      <c r="Z112" s="82"/>
    </row>
    <row r="113">
      <c r="A113" s="94"/>
      <c r="B113" s="90" t="s">
        <v>220</v>
      </c>
      <c r="C113" s="91" t="s">
        <v>221</v>
      </c>
      <c r="D113" s="94"/>
      <c r="E113" s="93">
        <v>0.0900000000000002</v>
      </c>
      <c r="F113" s="82"/>
      <c r="G113" s="82"/>
      <c r="H113" s="82"/>
      <c r="I113" s="82"/>
      <c r="J113" s="82"/>
      <c r="K113" s="82"/>
      <c r="L113" s="82"/>
      <c r="M113" s="82"/>
      <c r="N113" s="82"/>
      <c r="O113" s="82"/>
      <c r="P113" s="82"/>
      <c r="Q113" s="82"/>
      <c r="R113" s="82"/>
      <c r="S113" s="82"/>
      <c r="T113" s="82"/>
      <c r="U113" s="82"/>
      <c r="V113" s="82"/>
      <c r="W113" s="82"/>
      <c r="X113" s="82"/>
      <c r="Y113" s="82"/>
      <c r="Z113" s="82"/>
    </row>
    <row r="114">
      <c r="A114" s="94"/>
      <c r="B114" s="90" t="s">
        <v>222</v>
      </c>
      <c r="C114" s="91" t="s">
        <v>222</v>
      </c>
      <c r="D114" s="94"/>
      <c r="E114" s="93">
        <v>0.0900000000000003</v>
      </c>
      <c r="F114" s="82"/>
      <c r="G114" s="82"/>
      <c r="H114" s="82"/>
      <c r="I114" s="82"/>
      <c r="J114" s="82"/>
      <c r="K114" s="82"/>
      <c r="L114" s="82"/>
      <c r="M114" s="82"/>
      <c r="N114" s="82"/>
      <c r="O114" s="82"/>
      <c r="P114" s="82"/>
      <c r="Q114" s="82"/>
      <c r="R114" s="82"/>
      <c r="S114" s="82"/>
      <c r="T114" s="82"/>
      <c r="U114" s="82"/>
      <c r="V114" s="82"/>
      <c r="W114" s="82"/>
      <c r="X114" s="82"/>
      <c r="Y114" s="82"/>
      <c r="Z114" s="82"/>
    </row>
    <row r="115">
      <c r="A115" s="94"/>
      <c r="B115" s="90" t="s">
        <v>211</v>
      </c>
      <c r="C115" s="91" t="s">
        <v>212</v>
      </c>
      <c r="D115" s="94"/>
      <c r="E115" s="93">
        <v>0.0900000000000003</v>
      </c>
      <c r="F115" s="82"/>
      <c r="G115" s="82"/>
      <c r="H115" s="82"/>
      <c r="I115" s="82"/>
      <c r="J115" s="82"/>
      <c r="K115" s="82"/>
      <c r="L115" s="82"/>
      <c r="M115" s="82"/>
      <c r="N115" s="82"/>
      <c r="O115" s="82"/>
      <c r="P115" s="82"/>
      <c r="Q115" s="82"/>
      <c r="R115" s="82"/>
      <c r="S115" s="82"/>
      <c r="T115" s="82"/>
      <c r="U115" s="82"/>
      <c r="V115" s="82"/>
      <c r="W115" s="82"/>
      <c r="X115" s="82"/>
      <c r="Y115" s="82"/>
      <c r="Z115" s="82"/>
    </row>
    <row r="116">
      <c r="A116" s="94"/>
      <c r="B116" s="90" t="s">
        <v>223</v>
      </c>
      <c r="C116" s="91" t="s">
        <v>223</v>
      </c>
      <c r="D116" s="94"/>
      <c r="E116" s="93">
        <v>0.0900000000000003</v>
      </c>
      <c r="F116" s="82"/>
      <c r="G116" s="82"/>
      <c r="H116" s="82"/>
      <c r="I116" s="82"/>
      <c r="J116" s="82"/>
      <c r="K116" s="82"/>
      <c r="L116" s="82"/>
      <c r="M116" s="82"/>
      <c r="N116" s="82"/>
      <c r="O116" s="82"/>
      <c r="P116" s="82"/>
      <c r="Q116" s="82"/>
      <c r="R116" s="82"/>
      <c r="S116" s="82"/>
      <c r="T116" s="82"/>
      <c r="U116" s="82"/>
      <c r="V116" s="82"/>
      <c r="W116" s="82"/>
      <c r="X116" s="82"/>
      <c r="Y116" s="82"/>
      <c r="Z116" s="82"/>
    </row>
    <row r="117">
      <c r="A117" s="94"/>
      <c r="B117" s="90" t="s">
        <v>224</v>
      </c>
      <c r="C117" s="91" t="s">
        <v>224</v>
      </c>
      <c r="D117" s="94"/>
      <c r="E117" s="93">
        <v>0.0900000000000003</v>
      </c>
      <c r="F117" s="82"/>
      <c r="G117" s="82"/>
      <c r="H117" s="82"/>
      <c r="I117" s="82"/>
      <c r="J117" s="82"/>
      <c r="K117" s="82"/>
      <c r="L117" s="82"/>
      <c r="M117" s="82"/>
      <c r="N117" s="82"/>
      <c r="O117" s="82"/>
      <c r="P117" s="82"/>
      <c r="Q117" s="82"/>
      <c r="R117" s="82"/>
      <c r="S117" s="82"/>
      <c r="T117" s="82"/>
      <c r="U117" s="82"/>
      <c r="V117" s="82"/>
      <c r="W117" s="82"/>
      <c r="X117" s="82"/>
      <c r="Y117" s="82"/>
      <c r="Z117" s="82"/>
    </row>
    <row r="118">
      <c r="A118" s="94"/>
      <c r="B118" s="90" t="s">
        <v>225</v>
      </c>
      <c r="C118" s="91" t="s">
        <v>225</v>
      </c>
      <c r="D118" s="94"/>
      <c r="E118" s="93">
        <v>0.0900000000000003</v>
      </c>
      <c r="F118" s="82"/>
      <c r="G118" s="82"/>
      <c r="H118" s="82"/>
      <c r="I118" s="82"/>
      <c r="J118" s="82"/>
      <c r="K118" s="82"/>
      <c r="L118" s="82"/>
      <c r="M118" s="82"/>
      <c r="N118" s="82"/>
      <c r="O118" s="82"/>
      <c r="P118" s="82"/>
      <c r="Q118" s="82"/>
      <c r="R118" s="82"/>
      <c r="S118" s="82"/>
      <c r="T118" s="82"/>
      <c r="U118" s="82"/>
      <c r="V118" s="82"/>
      <c r="W118" s="82"/>
      <c r="X118" s="82"/>
      <c r="Y118" s="82"/>
      <c r="Z118" s="82"/>
    </row>
    <row r="119">
      <c r="A119" s="94"/>
      <c r="B119" s="90" t="s">
        <v>215</v>
      </c>
      <c r="C119" s="91" t="s">
        <v>215</v>
      </c>
      <c r="D119" s="94"/>
      <c r="E119" s="93">
        <v>0.0900000000000003</v>
      </c>
      <c r="F119" s="82"/>
      <c r="G119" s="82"/>
      <c r="H119" s="82"/>
      <c r="I119" s="82"/>
      <c r="J119" s="82"/>
      <c r="K119" s="82"/>
      <c r="L119" s="82"/>
      <c r="M119" s="82"/>
      <c r="N119" s="82"/>
      <c r="O119" s="82"/>
      <c r="P119" s="82"/>
      <c r="Q119" s="82"/>
      <c r="R119" s="82"/>
      <c r="S119" s="82"/>
      <c r="T119" s="82"/>
      <c r="U119" s="82"/>
      <c r="V119" s="82"/>
      <c r="W119" s="82"/>
      <c r="X119" s="82"/>
      <c r="Y119" s="82"/>
      <c r="Z119" s="82"/>
    </row>
    <row r="120">
      <c r="A120" s="95"/>
      <c r="B120" s="90" t="s">
        <v>226</v>
      </c>
      <c r="C120" s="91" t="s">
        <v>226</v>
      </c>
      <c r="D120" s="95"/>
      <c r="E120" s="93">
        <v>0.0900000000000003</v>
      </c>
      <c r="F120" s="82"/>
      <c r="G120" s="82"/>
      <c r="H120" s="82"/>
      <c r="I120" s="82"/>
      <c r="J120" s="82"/>
      <c r="K120" s="82"/>
      <c r="L120" s="82"/>
      <c r="M120" s="82"/>
      <c r="N120" s="82"/>
      <c r="O120" s="82"/>
      <c r="P120" s="82"/>
      <c r="Q120" s="82"/>
      <c r="R120" s="82"/>
      <c r="S120" s="82"/>
      <c r="T120" s="82"/>
      <c r="U120" s="82"/>
      <c r="V120" s="82"/>
      <c r="W120" s="82"/>
      <c r="X120" s="82"/>
      <c r="Y120" s="82"/>
      <c r="Z120" s="82"/>
    </row>
    <row r="121">
      <c r="A121" s="81" t="s">
        <v>227</v>
      </c>
      <c r="B121" s="82"/>
      <c r="C121" s="83"/>
      <c r="D121" s="82"/>
      <c r="E121" s="84"/>
      <c r="F121" s="82"/>
      <c r="G121" s="82"/>
      <c r="H121" s="82"/>
      <c r="I121" s="82"/>
      <c r="J121" s="82"/>
      <c r="K121" s="82"/>
      <c r="L121" s="82"/>
      <c r="M121" s="82"/>
      <c r="N121" s="82"/>
      <c r="O121" s="82"/>
      <c r="P121" s="82"/>
      <c r="Q121" s="82"/>
      <c r="R121" s="82"/>
      <c r="S121" s="82"/>
      <c r="T121" s="82"/>
      <c r="U121" s="82"/>
      <c r="V121" s="82"/>
      <c r="W121" s="82"/>
      <c r="X121" s="82"/>
      <c r="Y121" s="82"/>
      <c r="Z121" s="82"/>
    </row>
    <row r="122">
      <c r="A122" s="85"/>
      <c r="B122" s="82"/>
      <c r="C122" s="83"/>
      <c r="D122" s="82"/>
      <c r="E122" s="84"/>
      <c r="F122" s="82"/>
      <c r="G122" s="82"/>
      <c r="H122" s="82"/>
      <c r="I122" s="82"/>
      <c r="J122" s="82"/>
      <c r="K122" s="82"/>
      <c r="L122" s="82"/>
      <c r="M122" s="82"/>
      <c r="N122" s="82"/>
      <c r="O122" s="82"/>
      <c r="P122" s="82"/>
      <c r="Q122" s="82"/>
      <c r="R122" s="82"/>
      <c r="S122" s="82"/>
      <c r="T122" s="82"/>
      <c r="U122" s="82"/>
      <c r="V122" s="82"/>
      <c r="W122" s="82"/>
      <c r="X122" s="82"/>
      <c r="Y122" s="82"/>
      <c r="Z122" s="82"/>
    </row>
    <row r="123">
      <c r="A123" s="81" t="s">
        <v>228</v>
      </c>
      <c r="B123" s="82"/>
      <c r="C123" s="83"/>
      <c r="D123" s="82"/>
      <c r="E123" s="84"/>
      <c r="F123" s="82"/>
      <c r="G123" s="82"/>
      <c r="H123" s="82"/>
      <c r="I123" s="82"/>
      <c r="J123" s="82"/>
      <c r="K123" s="82"/>
      <c r="L123" s="82"/>
      <c r="M123" s="82"/>
      <c r="N123" s="82"/>
      <c r="O123" s="82"/>
      <c r="P123" s="82"/>
      <c r="Q123" s="82"/>
      <c r="R123" s="82"/>
      <c r="S123" s="82"/>
      <c r="T123" s="82"/>
      <c r="U123" s="82"/>
      <c r="V123" s="82"/>
      <c r="W123" s="82"/>
      <c r="X123" s="82"/>
      <c r="Y123" s="82"/>
      <c r="Z123" s="82"/>
    </row>
    <row r="124">
      <c r="A124" s="85"/>
      <c r="B124" s="82"/>
      <c r="C124" s="83"/>
      <c r="D124" s="82"/>
      <c r="E124" s="84"/>
      <c r="F124" s="82"/>
      <c r="G124" s="82"/>
      <c r="H124" s="82"/>
      <c r="I124" s="82"/>
      <c r="J124" s="82"/>
      <c r="K124" s="82"/>
      <c r="L124" s="82"/>
      <c r="M124" s="82"/>
      <c r="N124" s="82"/>
      <c r="O124" s="82"/>
      <c r="P124" s="82"/>
      <c r="Q124" s="82"/>
      <c r="R124" s="82"/>
      <c r="S124" s="82"/>
      <c r="T124" s="82"/>
      <c r="U124" s="82"/>
      <c r="V124" s="82"/>
      <c r="W124" s="82"/>
      <c r="X124" s="82"/>
      <c r="Y124" s="82"/>
      <c r="Z124" s="82"/>
    </row>
    <row r="125">
      <c r="A125" s="86" t="s">
        <v>59</v>
      </c>
      <c r="B125" s="87" t="s">
        <v>229</v>
      </c>
      <c r="C125" s="88" t="s">
        <v>230</v>
      </c>
      <c r="D125" s="87" t="s">
        <v>60</v>
      </c>
      <c r="E125" s="84"/>
      <c r="F125" s="82"/>
      <c r="G125" s="82"/>
      <c r="H125" s="82"/>
      <c r="I125" s="82"/>
      <c r="J125" s="82"/>
      <c r="K125" s="82"/>
      <c r="L125" s="82"/>
      <c r="M125" s="82"/>
      <c r="N125" s="82"/>
      <c r="O125" s="82"/>
      <c r="P125" s="82"/>
      <c r="Q125" s="82"/>
      <c r="R125" s="82"/>
      <c r="S125" s="82"/>
      <c r="T125" s="82"/>
      <c r="U125" s="82"/>
      <c r="V125" s="82"/>
      <c r="W125" s="82"/>
      <c r="X125" s="82"/>
      <c r="Y125" s="82"/>
      <c r="Z125" s="82"/>
    </row>
    <row r="126">
      <c r="A126" s="89" t="s">
        <v>231</v>
      </c>
      <c r="B126" s="91" t="s">
        <v>232</v>
      </c>
      <c r="C126" s="91" t="s">
        <v>232</v>
      </c>
      <c r="D126" s="86" t="s">
        <v>106</v>
      </c>
      <c r="E126" s="93">
        <v>0.1</v>
      </c>
      <c r="F126" s="82"/>
      <c r="G126" s="82"/>
      <c r="H126" s="82"/>
      <c r="I126" s="82"/>
      <c r="J126" s="82"/>
      <c r="K126" s="82"/>
      <c r="L126" s="82"/>
      <c r="M126" s="82"/>
      <c r="N126" s="82"/>
      <c r="O126" s="82"/>
      <c r="P126" s="82"/>
      <c r="Q126" s="82"/>
      <c r="R126" s="82"/>
      <c r="S126" s="82"/>
      <c r="T126" s="82"/>
      <c r="U126" s="82"/>
      <c r="V126" s="82"/>
      <c r="W126" s="82"/>
      <c r="X126" s="82"/>
      <c r="Y126" s="82"/>
      <c r="Z126" s="82"/>
    </row>
    <row r="127">
      <c r="A127" s="94"/>
      <c r="B127" s="90" t="s">
        <v>233</v>
      </c>
      <c r="C127" s="91" t="s">
        <v>234</v>
      </c>
      <c r="D127" s="92" t="s">
        <v>235</v>
      </c>
      <c r="E127" s="93">
        <v>0.095</v>
      </c>
      <c r="F127" s="82"/>
      <c r="G127" s="82"/>
      <c r="H127" s="82"/>
      <c r="I127" s="82"/>
      <c r="J127" s="82"/>
      <c r="K127" s="82"/>
      <c r="L127" s="82"/>
      <c r="M127" s="82"/>
      <c r="N127" s="82"/>
      <c r="O127" s="82"/>
      <c r="P127" s="82"/>
      <c r="Q127" s="82"/>
      <c r="R127" s="82"/>
      <c r="S127" s="82"/>
      <c r="T127" s="82"/>
      <c r="U127" s="82"/>
      <c r="V127" s="82"/>
      <c r="W127" s="82"/>
      <c r="X127" s="82"/>
      <c r="Y127" s="82"/>
      <c r="Z127" s="82"/>
    </row>
    <row r="128">
      <c r="A128" s="94"/>
      <c r="B128" s="90" t="s">
        <v>236</v>
      </c>
      <c r="C128" s="91" t="s">
        <v>237</v>
      </c>
      <c r="D128" s="94"/>
      <c r="E128" s="93">
        <v>0.095</v>
      </c>
      <c r="F128" s="82"/>
      <c r="G128" s="82"/>
      <c r="H128" s="82"/>
      <c r="I128" s="82"/>
      <c r="J128" s="82"/>
      <c r="K128" s="82"/>
      <c r="L128" s="82"/>
      <c r="M128" s="82"/>
      <c r="N128" s="82"/>
      <c r="O128" s="82"/>
      <c r="P128" s="82"/>
      <c r="Q128" s="82"/>
      <c r="R128" s="82"/>
      <c r="S128" s="82"/>
      <c r="T128" s="82"/>
      <c r="U128" s="82"/>
      <c r="V128" s="82"/>
      <c r="W128" s="82"/>
      <c r="X128" s="82"/>
      <c r="Y128" s="82"/>
      <c r="Z128" s="82"/>
    </row>
    <row r="129">
      <c r="A129" s="94"/>
      <c r="B129" s="90" t="s">
        <v>238</v>
      </c>
      <c r="C129" s="91" t="s">
        <v>239</v>
      </c>
      <c r="D129" s="94"/>
      <c r="E129" s="93">
        <v>0.095</v>
      </c>
      <c r="F129" s="82"/>
      <c r="G129" s="82"/>
      <c r="H129" s="82"/>
      <c r="I129" s="82"/>
      <c r="J129" s="82"/>
      <c r="K129" s="82"/>
      <c r="L129" s="82"/>
      <c r="M129" s="82"/>
      <c r="N129" s="82"/>
      <c r="O129" s="82"/>
      <c r="P129" s="82"/>
      <c r="Q129" s="82"/>
      <c r="R129" s="82"/>
      <c r="S129" s="82"/>
      <c r="T129" s="82"/>
      <c r="U129" s="82"/>
      <c r="V129" s="82"/>
      <c r="W129" s="82"/>
      <c r="X129" s="82"/>
      <c r="Y129" s="82"/>
      <c r="Z129" s="82"/>
    </row>
    <row r="130">
      <c r="A130" s="94"/>
      <c r="B130" s="90" t="s">
        <v>240</v>
      </c>
      <c r="C130" s="91" t="s">
        <v>241</v>
      </c>
      <c r="D130" s="94"/>
      <c r="E130" s="93">
        <v>0.095</v>
      </c>
      <c r="F130" s="82"/>
      <c r="G130" s="82"/>
      <c r="H130" s="82"/>
      <c r="I130" s="82"/>
      <c r="J130" s="82"/>
      <c r="K130" s="82"/>
      <c r="L130" s="82"/>
      <c r="M130" s="82"/>
      <c r="N130" s="82"/>
      <c r="O130" s="82"/>
      <c r="P130" s="82"/>
      <c r="Q130" s="82"/>
      <c r="R130" s="82"/>
      <c r="S130" s="82"/>
      <c r="T130" s="82"/>
      <c r="U130" s="82"/>
      <c r="V130" s="82"/>
      <c r="W130" s="82"/>
      <c r="X130" s="82"/>
      <c r="Y130" s="82"/>
      <c r="Z130" s="82"/>
    </row>
    <row r="131">
      <c r="A131" s="94"/>
      <c r="B131" s="90" t="s">
        <v>242</v>
      </c>
      <c r="C131" s="91" t="s">
        <v>243</v>
      </c>
      <c r="D131" s="94"/>
      <c r="E131" s="93">
        <v>0.095</v>
      </c>
      <c r="F131" s="82"/>
      <c r="G131" s="82"/>
      <c r="H131" s="82"/>
      <c r="I131" s="82"/>
      <c r="J131" s="82"/>
      <c r="K131" s="82"/>
      <c r="L131" s="82"/>
      <c r="M131" s="82"/>
      <c r="N131" s="82"/>
      <c r="O131" s="82"/>
      <c r="P131" s="82"/>
      <c r="Q131" s="82"/>
      <c r="R131" s="82"/>
      <c r="S131" s="82"/>
      <c r="T131" s="82"/>
      <c r="U131" s="82"/>
      <c r="V131" s="82"/>
      <c r="W131" s="82"/>
      <c r="X131" s="82"/>
      <c r="Y131" s="82"/>
      <c r="Z131" s="82"/>
    </row>
    <row r="132">
      <c r="A132" s="94"/>
      <c r="B132" s="90" t="s">
        <v>244</v>
      </c>
      <c r="C132" s="91" t="s">
        <v>245</v>
      </c>
      <c r="D132" s="95"/>
      <c r="E132" s="93">
        <v>0.095</v>
      </c>
      <c r="F132" s="82"/>
      <c r="G132" s="82"/>
      <c r="H132" s="82"/>
      <c r="I132" s="82"/>
      <c r="J132" s="82"/>
      <c r="K132" s="82"/>
      <c r="L132" s="82"/>
      <c r="M132" s="82"/>
      <c r="N132" s="82"/>
      <c r="O132" s="82"/>
      <c r="P132" s="82"/>
      <c r="Q132" s="82"/>
      <c r="R132" s="82"/>
      <c r="S132" s="82"/>
      <c r="T132" s="82"/>
      <c r="U132" s="82"/>
      <c r="V132" s="82"/>
      <c r="W132" s="82"/>
      <c r="X132" s="82"/>
      <c r="Y132" s="82"/>
      <c r="Z132" s="82"/>
    </row>
    <row r="133">
      <c r="A133" s="94"/>
      <c r="B133" s="90" t="s">
        <v>246</v>
      </c>
      <c r="C133" s="91" t="s">
        <v>247</v>
      </c>
      <c r="D133" s="86" t="s">
        <v>64</v>
      </c>
      <c r="E133" s="93">
        <v>0.09</v>
      </c>
      <c r="F133" s="82"/>
      <c r="G133" s="82"/>
      <c r="H133" s="82"/>
      <c r="I133" s="82"/>
      <c r="J133" s="82"/>
      <c r="K133" s="82"/>
      <c r="L133" s="82"/>
      <c r="M133" s="82"/>
      <c r="N133" s="82"/>
      <c r="O133" s="82"/>
      <c r="P133" s="82"/>
      <c r="Q133" s="82"/>
      <c r="R133" s="82"/>
      <c r="S133" s="82"/>
      <c r="T133" s="82"/>
      <c r="U133" s="82"/>
      <c r="V133" s="82"/>
      <c r="W133" s="82"/>
      <c r="X133" s="82"/>
      <c r="Y133" s="82"/>
      <c r="Z133" s="82"/>
    </row>
    <row r="134">
      <c r="A134" s="94"/>
      <c r="B134" s="90" t="s">
        <v>248</v>
      </c>
      <c r="C134" s="91" t="s">
        <v>249</v>
      </c>
      <c r="D134" s="92" t="s">
        <v>81</v>
      </c>
      <c r="E134" s="93">
        <v>0.0825</v>
      </c>
      <c r="F134" s="82"/>
      <c r="G134" s="82"/>
      <c r="H134" s="82"/>
      <c r="I134" s="82"/>
      <c r="J134" s="82"/>
      <c r="K134" s="82"/>
      <c r="L134" s="82"/>
      <c r="M134" s="82"/>
      <c r="N134" s="82"/>
      <c r="O134" s="82"/>
      <c r="P134" s="82"/>
      <c r="Q134" s="82"/>
      <c r="R134" s="82"/>
      <c r="S134" s="82"/>
      <c r="T134" s="82"/>
      <c r="U134" s="82"/>
      <c r="V134" s="82"/>
      <c r="W134" s="82"/>
      <c r="X134" s="82"/>
      <c r="Y134" s="82"/>
      <c r="Z134" s="82"/>
    </row>
    <row r="135">
      <c r="A135" s="94"/>
      <c r="B135" s="90" t="s">
        <v>250</v>
      </c>
      <c r="C135" s="91" t="s">
        <v>251</v>
      </c>
      <c r="D135" s="94"/>
      <c r="E135" s="93">
        <v>0.0825</v>
      </c>
      <c r="F135" s="82"/>
      <c r="G135" s="82"/>
      <c r="H135" s="82"/>
      <c r="I135" s="82"/>
      <c r="J135" s="82"/>
      <c r="K135" s="82"/>
      <c r="L135" s="82"/>
      <c r="M135" s="82"/>
      <c r="N135" s="82"/>
      <c r="O135" s="82"/>
      <c r="P135" s="82"/>
      <c r="Q135" s="82"/>
      <c r="R135" s="82"/>
      <c r="S135" s="82"/>
      <c r="T135" s="82"/>
      <c r="U135" s="82"/>
      <c r="V135" s="82"/>
      <c r="W135" s="82"/>
      <c r="X135" s="82"/>
      <c r="Y135" s="82"/>
      <c r="Z135" s="82"/>
    </row>
    <row r="136">
      <c r="A136" s="94"/>
      <c r="B136" s="91" t="s">
        <v>252</v>
      </c>
      <c r="C136" s="91" t="s">
        <v>252</v>
      </c>
      <c r="D136" s="94"/>
      <c r="E136" s="93">
        <v>0.0825</v>
      </c>
      <c r="F136" s="82"/>
      <c r="G136" s="82"/>
      <c r="H136" s="82"/>
      <c r="I136" s="82"/>
      <c r="J136" s="82"/>
      <c r="K136" s="82"/>
      <c r="L136" s="82"/>
      <c r="M136" s="82"/>
      <c r="N136" s="82"/>
      <c r="O136" s="82"/>
      <c r="P136" s="82"/>
      <c r="Q136" s="82"/>
      <c r="R136" s="82"/>
      <c r="S136" s="82"/>
      <c r="T136" s="82"/>
      <c r="U136" s="82"/>
      <c r="V136" s="82"/>
      <c r="W136" s="82"/>
      <c r="X136" s="82"/>
      <c r="Y136" s="82"/>
      <c r="Z136" s="82"/>
    </row>
    <row r="137">
      <c r="A137" s="94"/>
      <c r="B137" s="90" t="s">
        <v>242</v>
      </c>
      <c r="C137" s="91" t="s">
        <v>253</v>
      </c>
      <c r="D137" s="94"/>
      <c r="E137" s="93">
        <v>0.0825</v>
      </c>
      <c r="F137" s="82"/>
      <c r="G137" s="82"/>
      <c r="H137" s="82"/>
      <c r="I137" s="82"/>
      <c r="J137" s="82"/>
      <c r="K137" s="82"/>
      <c r="L137" s="82"/>
      <c r="M137" s="82"/>
      <c r="N137" s="82"/>
      <c r="O137" s="82"/>
      <c r="P137" s="82"/>
      <c r="Q137" s="82"/>
      <c r="R137" s="82"/>
      <c r="S137" s="82"/>
      <c r="T137" s="82"/>
      <c r="U137" s="82"/>
      <c r="V137" s="82"/>
      <c r="W137" s="82"/>
      <c r="X137" s="82"/>
      <c r="Y137" s="82"/>
      <c r="Z137" s="82"/>
    </row>
    <row r="138">
      <c r="A138" s="94"/>
      <c r="B138" s="90" t="s">
        <v>254</v>
      </c>
      <c r="C138" s="91" t="s">
        <v>255</v>
      </c>
      <c r="D138" s="94"/>
      <c r="E138" s="93">
        <v>0.0825</v>
      </c>
      <c r="F138" s="82"/>
      <c r="G138" s="82"/>
      <c r="H138" s="82"/>
      <c r="I138" s="82"/>
      <c r="J138" s="82"/>
      <c r="K138" s="82"/>
      <c r="L138" s="82"/>
      <c r="M138" s="82"/>
      <c r="N138" s="82"/>
      <c r="O138" s="82"/>
      <c r="P138" s="82"/>
      <c r="Q138" s="82"/>
      <c r="R138" s="82"/>
      <c r="S138" s="82"/>
      <c r="T138" s="82"/>
      <c r="U138" s="82"/>
      <c r="V138" s="82"/>
      <c r="W138" s="82"/>
      <c r="X138" s="82"/>
      <c r="Y138" s="82"/>
      <c r="Z138" s="82"/>
    </row>
    <row r="139">
      <c r="A139" s="94"/>
      <c r="B139" s="90" t="s">
        <v>256</v>
      </c>
      <c r="C139" s="91" t="s">
        <v>256</v>
      </c>
      <c r="D139" s="95"/>
      <c r="E139" s="93">
        <v>0.0825</v>
      </c>
      <c r="F139" s="82"/>
      <c r="G139" s="82"/>
      <c r="H139" s="82"/>
      <c r="I139" s="82"/>
      <c r="J139" s="82"/>
      <c r="K139" s="82"/>
      <c r="L139" s="82"/>
      <c r="M139" s="82"/>
      <c r="N139" s="82"/>
      <c r="O139" s="82"/>
      <c r="P139" s="82"/>
      <c r="Q139" s="82"/>
      <c r="R139" s="82"/>
      <c r="S139" s="82"/>
      <c r="T139" s="82"/>
      <c r="U139" s="82"/>
      <c r="V139" s="82"/>
      <c r="W139" s="82"/>
      <c r="X139" s="82"/>
      <c r="Y139" s="82"/>
      <c r="Z139" s="82"/>
    </row>
    <row r="140">
      <c r="A140" s="94"/>
      <c r="B140" s="90" t="s">
        <v>257</v>
      </c>
      <c r="C140" s="91" t="s">
        <v>258</v>
      </c>
      <c r="D140" s="86" t="s">
        <v>259</v>
      </c>
      <c r="E140" s="93">
        <v>0.0675</v>
      </c>
      <c r="F140" s="82"/>
      <c r="G140" s="82"/>
      <c r="H140" s="82"/>
      <c r="I140" s="82"/>
      <c r="J140" s="82"/>
      <c r="K140" s="82"/>
      <c r="L140" s="82"/>
      <c r="M140" s="82"/>
      <c r="N140" s="82"/>
      <c r="O140" s="82"/>
      <c r="P140" s="82"/>
      <c r="Q140" s="82"/>
      <c r="R140" s="82"/>
      <c r="S140" s="82"/>
      <c r="T140" s="82"/>
      <c r="U140" s="82"/>
      <c r="V140" s="82"/>
      <c r="W140" s="82"/>
      <c r="X140" s="82"/>
      <c r="Y140" s="82"/>
      <c r="Z140" s="82"/>
    </row>
    <row r="141">
      <c r="A141" s="94"/>
      <c r="B141" s="90" t="s">
        <v>250</v>
      </c>
      <c r="C141" s="91" t="s">
        <v>260</v>
      </c>
      <c r="D141" s="86" t="s">
        <v>261</v>
      </c>
      <c r="E141" s="93">
        <v>0.065</v>
      </c>
      <c r="F141" s="82"/>
      <c r="G141" s="82"/>
      <c r="H141" s="82"/>
      <c r="I141" s="82"/>
      <c r="J141" s="82"/>
      <c r="K141" s="82"/>
      <c r="L141" s="82"/>
      <c r="M141" s="82"/>
      <c r="N141" s="82"/>
      <c r="O141" s="82"/>
      <c r="P141" s="82"/>
      <c r="Q141" s="82"/>
      <c r="R141" s="82"/>
      <c r="S141" s="82"/>
      <c r="T141" s="82"/>
      <c r="U141" s="82"/>
      <c r="V141" s="82"/>
      <c r="W141" s="82"/>
      <c r="X141" s="82"/>
      <c r="Y141" s="82"/>
      <c r="Z141" s="82"/>
    </row>
    <row r="142">
      <c r="A142" s="95"/>
      <c r="B142" s="90" t="s">
        <v>262</v>
      </c>
      <c r="C142" s="91" t="s">
        <v>262</v>
      </c>
      <c r="D142" s="86" t="s">
        <v>81</v>
      </c>
      <c r="E142" s="93">
        <v>0.0825</v>
      </c>
      <c r="F142" s="82"/>
      <c r="G142" s="82"/>
      <c r="H142" s="82"/>
      <c r="I142" s="82"/>
      <c r="J142" s="82"/>
      <c r="K142" s="82"/>
      <c r="L142" s="82"/>
      <c r="M142" s="82"/>
      <c r="N142" s="82"/>
      <c r="O142" s="82"/>
      <c r="P142" s="82"/>
      <c r="Q142" s="82"/>
      <c r="R142" s="82"/>
      <c r="S142" s="82"/>
      <c r="T142" s="82"/>
      <c r="U142" s="82"/>
      <c r="V142" s="82"/>
      <c r="W142" s="82"/>
      <c r="X142" s="82"/>
      <c r="Y142" s="82"/>
      <c r="Z142" s="82"/>
    </row>
    <row r="143">
      <c r="A143" s="89" t="s">
        <v>263</v>
      </c>
      <c r="B143" s="90" t="s">
        <v>264</v>
      </c>
      <c r="C143" s="91" t="s">
        <v>265</v>
      </c>
      <c r="D143" s="86" t="s">
        <v>106</v>
      </c>
      <c r="E143" s="93">
        <v>0.1</v>
      </c>
      <c r="F143" s="82"/>
      <c r="G143" s="82"/>
      <c r="H143" s="82"/>
      <c r="I143" s="82"/>
      <c r="J143" s="82"/>
      <c r="K143" s="82"/>
      <c r="L143" s="82"/>
      <c r="M143" s="82"/>
      <c r="N143" s="82"/>
      <c r="O143" s="82"/>
      <c r="P143" s="82"/>
      <c r="Q143" s="82"/>
      <c r="R143" s="82"/>
      <c r="S143" s="82"/>
      <c r="T143" s="82"/>
      <c r="U143" s="82"/>
      <c r="V143" s="82"/>
      <c r="W143" s="82"/>
      <c r="X143" s="82"/>
      <c r="Y143" s="82"/>
      <c r="Z143" s="82"/>
    </row>
    <row r="144">
      <c r="A144" s="94"/>
      <c r="B144" s="90" t="s">
        <v>266</v>
      </c>
      <c r="C144" s="91" t="s">
        <v>267</v>
      </c>
      <c r="D144" s="92" t="s">
        <v>235</v>
      </c>
      <c r="E144" s="93">
        <v>0.095</v>
      </c>
      <c r="F144" s="82"/>
      <c r="G144" s="82"/>
      <c r="H144" s="82"/>
      <c r="I144" s="82"/>
      <c r="J144" s="82"/>
      <c r="K144" s="82"/>
      <c r="L144" s="82"/>
      <c r="M144" s="82"/>
      <c r="N144" s="82"/>
      <c r="O144" s="82"/>
      <c r="P144" s="82"/>
      <c r="Q144" s="82"/>
      <c r="R144" s="82"/>
      <c r="S144" s="82"/>
      <c r="T144" s="82"/>
      <c r="U144" s="82"/>
      <c r="V144" s="82"/>
      <c r="W144" s="82"/>
      <c r="X144" s="82"/>
      <c r="Y144" s="82"/>
      <c r="Z144" s="82"/>
    </row>
    <row r="145">
      <c r="A145" s="94"/>
      <c r="B145" s="90" t="s">
        <v>264</v>
      </c>
      <c r="C145" s="91" t="s">
        <v>268</v>
      </c>
      <c r="D145" s="95"/>
      <c r="E145" s="93">
        <v>0.095</v>
      </c>
      <c r="F145" s="82"/>
      <c r="G145" s="82"/>
      <c r="H145" s="82"/>
      <c r="I145" s="82"/>
      <c r="J145" s="82"/>
      <c r="K145" s="82"/>
      <c r="L145" s="82"/>
      <c r="M145" s="82"/>
      <c r="N145" s="82"/>
      <c r="O145" s="82"/>
      <c r="P145" s="82"/>
      <c r="Q145" s="82"/>
      <c r="R145" s="82"/>
      <c r="S145" s="82"/>
      <c r="T145" s="82"/>
      <c r="U145" s="82"/>
      <c r="V145" s="82"/>
      <c r="W145" s="82"/>
      <c r="X145" s="82"/>
      <c r="Y145" s="82"/>
      <c r="Z145" s="82"/>
    </row>
    <row r="146">
      <c r="A146" s="94"/>
      <c r="B146" s="90" t="s">
        <v>269</v>
      </c>
      <c r="C146" s="91" t="s">
        <v>270</v>
      </c>
      <c r="D146" s="92" t="s">
        <v>64</v>
      </c>
      <c r="E146" s="93">
        <v>0.09</v>
      </c>
      <c r="F146" s="82"/>
      <c r="G146" s="82"/>
      <c r="H146" s="82"/>
      <c r="I146" s="82"/>
      <c r="J146" s="82"/>
      <c r="K146" s="82"/>
      <c r="L146" s="82"/>
      <c r="M146" s="82"/>
      <c r="N146" s="82"/>
      <c r="O146" s="82"/>
      <c r="P146" s="82"/>
      <c r="Q146" s="82"/>
      <c r="R146" s="82"/>
      <c r="S146" s="82"/>
      <c r="T146" s="82"/>
      <c r="U146" s="82"/>
      <c r="V146" s="82"/>
      <c r="W146" s="82"/>
      <c r="X146" s="82"/>
      <c r="Y146" s="82"/>
      <c r="Z146" s="82"/>
    </row>
    <row r="147">
      <c r="A147" s="94"/>
      <c r="B147" s="90" t="s">
        <v>266</v>
      </c>
      <c r="C147" s="91" t="s">
        <v>271</v>
      </c>
      <c r="D147" s="94"/>
      <c r="E147" s="93">
        <v>0.09</v>
      </c>
      <c r="F147" s="82"/>
      <c r="G147" s="82"/>
      <c r="H147" s="82"/>
      <c r="I147" s="82"/>
      <c r="J147" s="82"/>
      <c r="K147" s="82"/>
      <c r="L147" s="82"/>
      <c r="M147" s="82"/>
      <c r="N147" s="82"/>
      <c r="O147" s="82"/>
      <c r="P147" s="82"/>
      <c r="Q147" s="82"/>
      <c r="R147" s="82"/>
      <c r="S147" s="82"/>
      <c r="T147" s="82"/>
      <c r="U147" s="82"/>
      <c r="V147" s="82"/>
      <c r="W147" s="82"/>
      <c r="X147" s="82"/>
      <c r="Y147" s="82"/>
      <c r="Z147" s="82"/>
    </row>
    <row r="148">
      <c r="A148" s="94"/>
      <c r="B148" s="90" t="s">
        <v>264</v>
      </c>
      <c r="C148" s="91" t="s">
        <v>272</v>
      </c>
      <c r="D148" s="94"/>
      <c r="E148" s="93">
        <v>0.09</v>
      </c>
      <c r="F148" s="82"/>
      <c r="G148" s="82"/>
      <c r="H148" s="82"/>
      <c r="I148" s="82"/>
      <c r="J148" s="82"/>
      <c r="K148" s="82"/>
      <c r="L148" s="82"/>
      <c r="M148" s="82"/>
      <c r="N148" s="82"/>
      <c r="O148" s="82"/>
      <c r="P148" s="82"/>
      <c r="Q148" s="82"/>
      <c r="R148" s="82"/>
      <c r="S148" s="82"/>
      <c r="T148" s="82"/>
      <c r="U148" s="82"/>
      <c r="V148" s="82"/>
      <c r="W148" s="82"/>
      <c r="X148" s="82"/>
      <c r="Y148" s="82"/>
      <c r="Z148" s="82"/>
    </row>
    <row r="149">
      <c r="A149" s="94"/>
      <c r="B149" s="90" t="s">
        <v>273</v>
      </c>
      <c r="C149" s="91" t="s">
        <v>274</v>
      </c>
      <c r="D149" s="94"/>
      <c r="E149" s="93">
        <v>0.09</v>
      </c>
      <c r="F149" s="82"/>
      <c r="G149" s="82"/>
      <c r="H149" s="82"/>
      <c r="I149" s="82"/>
      <c r="J149" s="82"/>
      <c r="K149" s="82"/>
      <c r="L149" s="82"/>
      <c r="M149" s="82"/>
      <c r="N149" s="82"/>
      <c r="O149" s="82"/>
      <c r="P149" s="82"/>
      <c r="Q149" s="82"/>
      <c r="R149" s="82"/>
      <c r="S149" s="82"/>
      <c r="T149" s="82"/>
      <c r="U149" s="82"/>
      <c r="V149" s="82"/>
      <c r="W149" s="82"/>
      <c r="X149" s="82"/>
      <c r="Y149" s="82"/>
      <c r="Z149" s="82"/>
    </row>
    <row r="150">
      <c r="A150" s="95"/>
      <c r="B150" s="90" t="s">
        <v>275</v>
      </c>
      <c r="C150" s="91" t="s">
        <v>275</v>
      </c>
      <c r="D150" s="95"/>
      <c r="E150" s="93">
        <v>0.09</v>
      </c>
      <c r="F150" s="82"/>
      <c r="G150" s="82"/>
      <c r="H150" s="82"/>
      <c r="I150" s="82"/>
      <c r="J150" s="82"/>
      <c r="K150" s="82"/>
      <c r="L150" s="82"/>
      <c r="M150" s="82"/>
      <c r="N150" s="82"/>
      <c r="O150" s="82"/>
      <c r="P150" s="82"/>
      <c r="Q150" s="82"/>
      <c r="R150" s="82"/>
      <c r="S150" s="82"/>
      <c r="T150" s="82"/>
      <c r="U150" s="82"/>
      <c r="V150" s="82"/>
      <c r="W150" s="82"/>
      <c r="X150" s="82"/>
      <c r="Y150" s="82"/>
      <c r="Z150" s="82"/>
    </row>
    <row r="151">
      <c r="A151" s="89" t="s">
        <v>276</v>
      </c>
      <c r="B151" s="90" t="s">
        <v>277</v>
      </c>
      <c r="C151" s="91" t="s">
        <v>278</v>
      </c>
      <c r="D151" s="86" t="s">
        <v>106</v>
      </c>
      <c r="E151" s="93">
        <v>0.1</v>
      </c>
      <c r="F151" s="82"/>
      <c r="G151" s="82"/>
      <c r="H151" s="82"/>
      <c r="I151" s="82"/>
      <c r="J151" s="82"/>
      <c r="K151" s="82"/>
      <c r="L151" s="82"/>
      <c r="M151" s="82"/>
      <c r="N151" s="82"/>
      <c r="O151" s="82"/>
      <c r="P151" s="82"/>
      <c r="Q151" s="82"/>
      <c r="R151" s="82"/>
      <c r="S151" s="82"/>
      <c r="T151" s="82"/>
      <c r="U151" s="82"/>
      <c r="V151" s="82"/>
      <c r="W151" s="82"/>
      <c r="X151" s="82"/>
      <c r="Y151" s="82"/>
      <c r="Z151" s="82"/>
    </row>
    <row r="152">
      <c r="A152" s="94"/>
      <c r="B152" s="91" t="s">
        <v>279</v>
      </c>
      <c r="C152" s="91" t="s">
        <v>279</v>
      </c>
      <c r="D152" s="92" t="s">
        <v>235</v>
      </c>
      <c r="E152" s="93">
        <v>0.095</v>
      </c>
      <c r="F152" s="82"/>
      <c r="G152" s="82"/>
      <c r="H152" s="82"/>
      <c r="I152" s="82"/>
      <c r="J152" s="82"/>
      <c r="K152" s="82"/>
      <c r="L152" s="82"/>
      <c r="M152" s="82"/>
      <c r="N152" s="82"/>
      <c r="O152" s="82"/>
      <c r="P152" s="82"/>
      <c r="Q152" s="82"/>
      <c r="R152" s="82"/>
      <c r="S152" s="82"/>
      <c r="T152" s="82"/>
      <c r="U152" s="82"/>
      <c r="V152" s="82"/>
      <c r="W152" s="82"/>
      <c r="X152" s="82"/>
      <c r="Y152" s="82"/>
      <c r="Z152" s="82"/>
    </row>
    <row r="153">
      <c r="A153" s="94"/>
      <c r="B153" s="91" t="s">
        <v>280</v>
      </c>
      <c r="C153" s="91" t="s">
        <v>280</v>
      </c>
      <c r="D153" s="94"/>
      <c r="E153" s="93">
        <v>0.095</v>
      </c>
      <c r="F153" s="82"/>
      <c r="G153" s="82"/>
      <c r="H153" s="82"/>
      <c r="I153" s="82"/>
      <c r="J153" s="82"/>
      <c r="K153" s="82"/>
      <c r="L153" s="82"/>
      <c r="M153" s="82"/>
      <c r="N153" s="82"/>
      <c r="O153" s="82"/>
      <c r="P153" s="82"/>
      <c r="Q153" s="82"/>
      <c r="R153" s="82"/>
      <c r="S153" s="82"/>
      <c r="T153" s="82"/>
      <c r="U153" s="82"/>
      <c r="V153" s="82"/>
      <c r="W153" s="82"/>
      <c r="X153" s="82"/>
      <c r="Y153" s="82"/>
      <c r="Z153" s="82"/>
    </row>
    <row r="154">
      <c r="A154" s="94"/>
      <c r="B154" s="90" t="s">
        <v>281</v>
      </c>
      <c r="C154" s="91" t="s">
        <v>282</v>
      </c>
      <c r="D154" s="94"/>
      <c r="E154" s="93">
        <v>0.095</v>
      </c>
      <c r="F154" s="82"/>
      <c r="G154" s="82"/>
      <c r="H154" s="82"/>
      <c r="I154" s="82"/>
      <c r="J154" s="82"/>
      <c r="K154" s="82"/>
      <c r="L154" s="82"/>
      <c r="M154" s="82"/>
      <c r="N154" s="82"/>
      <c r="O154" s="82"/>
      <c r="P154" s="82"/>
      <c r="Q154" s="82"/>
      <c r="R154" s="82"/>
      <c r="S154" s="82"/>
      <c r="T154" s="82"/>
      <c r="U154" s="82"/>
      <c r="V154" s="82"/>
      <c r="W154" s="82"/>
      <c r="X154" s="82"/>
      <c r="Y154" s="82"/>
      <c r="Z154" s="82"/>
    </row>
    <row r="155">
      <c r="A155" s="94"/>
      <c r="B155" s="90" t="s">
        <v>283</v>
      </c>
      <c r="C155" s="91" t="s">
        <v>284</v>
      </c>
      <c r="D155" s="94"/>
      <c r="E155" s="93">
        <v>0.095</v>
      </c>
      <c r="F155" s="82"/>
      <c r="G155" s="82"/>
      <c r="H155" s="82"/>
      <c r="I155" s="82"/>
      <c r="J155" s="82"/>
      <c r="K155" s="82"/>
      <c r="L155" s="82"/>
      <c r="M155" s="82"/>
      <c r="N155" s="82"/>
      <c r="O155" s="82"/>
      <c r="P155" s="82"/>
      <c r="Q155" s="82"/>
      <c r="R155" s="82"/>
      <c r="S155" s="82"/>
      <c r="T155" s="82"/>
      <c r="U155" s="82"/>
      <c r="V155" s="82"/>
      <c r="W155" s="82"/>
      <c r="X155" s="82"/>
      <c r="Y155" s="82"/>
      <c r="Z155" s="82"/>
    </row>
    <row r="156">
      <c r="A156" s="94"/>
      <c r="B156" s="90" t="s">
        <v>285</v>
      </c>
      <c r="C156" s="91" t="s">
        <v>285</v>
      </c>
      <c r="D156" s="95"/>
      <c r="E156" s="93">
        <v>0.095</v>
      </c>
      <c r="F156" s="82"/>
      <c r="G156" s="82"/>
      <c r="H156" s="82"/>
      <c r="I156" s="82"/>
      <c r="J156" s="82"/>
      <c r="K156" s="82"/>
      <c r="L156" s="82"/>
      <c r="M156" s="82"/>
      <c r="N156" s="82"/>
      <c r="O156" s="82"/>
      <c r="P156" s="82"/>
      <c r="Q156" s="82"/>
      <c r="R156" s="82"/>
      <c r="S156" s="82"/>
      <c r="T156" s="82"/>
      <c r="U156" s="82"/>
      <c r="V156" s="82"/>
      <c r="W156" s="82"/>
      <c r="X156" s="82"/>
      <c r="Y156" s="82"/>
      <c r="Z156" s="82"/>
    </row>
    <row r="157">
      <c r="A157" s="94"/>
      <c r="B157" s="90" t="s">
        <v>286</v>
      </c>
      <c r="C157" s="91" t="s">
        <v>287</v>
      </c>
      <c r="D157" s="92" t="s">
        <v>64</v>
      </c>
      <c r="E157" s="93">
        <v>0.09</v>
      </c>
      <c r="F157" s="82"/>
      <c r="G157" s="82"/>
      <c r="H157" s="82"/>
      <c r="I157" s="82"/>
      <c r="J157" s="82"/>
      <c r="K157" s="82"/>
      <c r="L157" s="82"/>
      <c r="M157" s="82"/>
      <c r="N157" s="82"/>
      <c r="O157" s="82"/>
      <c r="P157" s="82"/>
      <c r="Q157" s="82"/>
      <c r="R157" s="82"/>
      <c r="S157" s="82"/>
      <c r="T157" s="82"/>
      <c r="U157" s="82"/>
      <c r="V157" s="82"/>
      <c r="W157" s="82"/>
      <c r="X157" s="82"/>
      <c r="Y157" s="82"/>
      <c r="Z157" s="82"/>
    </row>
    <row r="158">
      <c r="A158" s="94"/>
      <c r="B158" s="90" t="s">
        <v>288</v>
      </c>
      <c r="C158" s="91" t="s">
        <v>289</v>
      </c>
      <c r="D158" s="95"/>
      <c r="E158" s="93">
        <v>0.09</v>
      </c>
      <c r="F158" s="82"/>
      <c r="G158" s="82"/>
      <c r="H158" s="82"/>
      <c r="I158" s="82"/>
      <c r="J158" s="82"/>
      <c r="K158" s="82"/>
      <c r="L158" s="82"/>
      <c r="M158" s="82"/>
      <c r="N158" s="82"/>
      <c r="O158" s="82"/>
      <c r="P158" s="82"/>
      <c r="Q158" s="82"/>
      <c r="R158" s="82"/>
      <c r="S158" s="82"/>
      <c r="T158" s="82"/>
      <c r="U158" s="82"/>
      <c r="V158" s="82"/>
      <c r="W158" s="82"/>
      <c r="X158" s="82"/>
      <c r="Y158" s="82"/>
      <c r="Z158" s="82"/>
    </row>
    <row r="159">
      <c r="A159" s="94"/>
      <c r="B159" s="90" t="s">
        <v>290</v>
      </c>
      <c r="C159" s="91" t="s">
        <v>291</v>
      </c>
      <c r="D159" s="86" t="s">
        <v>81</v>
      </c>
      <c r="E159" s="93">
        <v>0.0825</v>
      </c>
      <c r="F159" s="82"/>
      <c r="G159" s="82"/>
      <c r="H159" s="82"/>
      <c r="I159" s="82"/>
      <c r="J159" s="82"/>
      <c r="K159" s="82"/>
      <c r="L159" s="82"/>
      <c r="M159" s="82"/>
      <c r="N159" s="82"/>
      <c r="O159" s="82"/>
      <c r="P159" s="82"/>
      <c r="Q159" s="82"/>
      <c r="R159" s="82"/>
      <c r="S159" s="82"/>
      <c r="T159" s="82"/>
      <c r="U159" s="82"/>
      <c r="V159" s="82"/>
      <c r="W159" s="82"/>
      <c r="X159" s="82"/>
      <c r="Y159" s="82"/>
      <c r="Z159" s="82"/>
    </row>
    <row r="160">
      <c r="A160" s="94"/>
      <c r="B160" s="90" t="s">
        <v>292</v>
      </c>
      <c r="C160" s="91" t="s">
        <v>293</v>
      </c>
      <c r="D160" s="92" t="s">
        <v>259</v>
      </c>
      <c r="E160" s="93">
        <v>0.0675</v>
      </c>
      <c r="F160" s="82"/>
      <c r="G160" s="82"/>
      <c r="H160" s="82"/>
      <c r="I160" s="82"/>
      <c r="J160" s="82"/>
      <c r="K160" s="82"/>
      <c r="L160" s="82"/>
      <c r="M160" s="82"/>
      <c r="N160" s="82"/>
      <c r="O160" s="82"/>
      <c r="P160" s="82"/>
      <c r="Q160" s="82"/>
      <c r="R160" s="82"/>
      <c r="S160" s="82"/>
      <c r="T160" s="82"/>
      <c r="U160" s="82"/>
      <c r="V160" s="82"/>
      <c r="W160" s="82"/>
      <c r="X160" s="82"/>
      <c r="Y160" s="82"/>
      <c r="Z160" s="82"/>
    </row>
    <row r="161">
      <c r="A161" s="94"/>
      <c r="B161" s="91" t="s">
        <v>294</v>
      </c>
      <c r="C161" s="91" t="s">
        <v>294</v>
      </c>
      <c r="D161" s="94"/>
      <c r="E161" s="93">
        <v>0.0675</v>
      </c>
      <c r="F161" s="82"/>
      <c r="G161" s="82"/>
      <c r="H161" s="82"/>
      <c r="I161" s="82"/>
      <c r="J161" s="82"/>
      <c r="K161" s="82"/>
      <c r="L161" s="82"/>
      <c r="M161" s="82"/>
      <c r="N161" s="82"/>
      <c r="O161" s="82"/>
      <c r="P161" s="82"/>
      <c r="Q161" s="82"/>
      <c r="R161" s="82"/>
      <c r="S161" s="82"/>
      <c r="T161" s="82"/>
      <c r="U161" s="82"/>
      <c r="V161" s="82"/>
      <c r="W161" s="82"/>
      <c r="X161" s="82"/>
      <c r="Y161" s="82"/>
      <c r="Z161" s="82"/>
    </row>
    <row r="162">
      <c r="A162" s="94"/>
      <c r="B162" s="90" t="s">
        <v>295</v>
      </c>
      <c r="C162" s="91" t="s">
        <v>296</v>
      </c>
      <c r="D162" s="94"/>
      <c r="E162" s="93">
        <v>0.0675</v>
      </c>
      <c r="F162" s="82"/>
      <c r="G162" s="82"/>
      <c r="H162" s="82"/>
      <c r="I162" s="82"/>
      <c r="J162" s="82"/>
      <c r="K162" s="82"/>
      <c r="L162" s="82"/>
      <c r="M162" s="82"/>
      <c r="N162" s="82"/>
      <c r="O162" s="82"/>
      <c r="P162" s="82"/>
      <c r="Q162" s="82"/>
      <c r="R162" s="82"/>
      <c r="S162" s="82"/>
      <c r="T162" s="82"/>
      <c r="U162" s="82"/>
      <c r="V162" s="82"/>
      <c r="W162" s="82"/>
      <c r="X162" s="82"/>
      <c r="Y162" s="82"/>
      <c r="Z162" s="82"/>
    </row>
    <row r="163">
      <c r="A163" s="94"/>
      <c r="B163" s="90" t="s">
        <v>297</v>
      </c>
      <c r="C163" s="91" t="s">
        <v>298</v>
      </c>
      <c r="D163" s="94"/>
      <c r="E163" s="93">
        <v>0.0675</v>
      </c>
      <c r="F163" s="82"/>
      <c r="G163" s="82"/>
      <c r="H163" s="82"/>
      <c r="I163" s="82"/>
      <c r="J163" s="82"/>
      <c r="K163" s="82"/>
      <c r="L163" s="82"/>
      <c r="M163" s="82"/>
      <c r="N163" s="82"/>
      <c r="O163" s="82"/>
      <c r="P163" s="82"/>
      <c r="Q163" s="82"/>
      <c r="R163" s="82"/>
      <c r="S163" s="82"/>
      <c r="T163" s="82"/>
      <c r="U163" s="82"/>
      <c r="V163" s="82"/>
      <c r="W163" s="82"/>
      <c r="X163" s="82"/>
      <c r="Y163" s="82"/>
      <c r="Z163" s="82"/>
    </row>
    <row r="164">
      <c r="A164" s="94"/>
      <c r="B164" s="90" t="s">
        <v>299</v>
      </c>
      <c r="C164" s="91" t="s">
        <v>300</v>
      </c>
      <c r="D164" s="94"/>
      <c r="E164" s="93">
        <v>0.0675</v>
      </c>
      <c r="F164" s="82"/>
      <c r="G164" s="82"/>
      <c r="H164" s="82"/>
      <c r="I164" s="82"/>
      <c r="J164" s="82"/>
      <c r="K164" s="82"/>
      <c r="L164" s="82"/>
      <c r="M164" s="82"/>
      <c r="N164" s="82"/>
      <c r="O164" s="82"/>
      <c r="P164" s="82"/>
      <c r="Q164" s="82"/>
      <c r="R164" s="82"/>
      <c r="S164" s="82"/>
      <c r="T164" s="82"/>
      <c r="U164" s="82"/>
      <c r="V164" s="82"/>
      <c r="W164" s="82"/>
      <c r="X164" s="82"/>
      <c r="Y164" s="82"/>
      <c r="Z164" s="82"/>
    </row>
    <row r="165">
      <c r="A165" s="94"/>
      <c r="B165" s="91" t="s">
        <v>301</v>
      </c>
      <c r="C165" s="91" t="s">
        <v>301</v>
      </c>
      <c r="D165" s="95"/>
      <c r="E165" s="93">
        <v>0.0675</v>
      </c>
      <c r="F165" s="82"/>
      <c r="G165" s="82"/>
      <c r="H165" s="82"/>
      <c r="I165" s="82"/>
      <c r="J165" s="82"/>
      <c r="K165" s="82"/>
      <c r="L165" s="82"/>
      <c r="M165" s="82"/>
      <c r="N165" s="82"/>
      <c r="O165" s="82"/>
      <c r="P165" s="82"/>
      <c r="Q165" s="82"/>
      <c r="R165" s="82"/>
      <c r="S165" s="82"/>
      <c r="T165" s="82"/>
      <c r="U165" s="82"/>
      <c r="V165" s="82"/>
      <c r="W165" s="82"/>
      <c r="X165" s="82"/>
      <c r="Y165" s="82"/>
      <c r="Z165" s="82"/>
    </row>
    <row r="166">
      <c r="A166" s="94"/>
      <c r="B166" s="97" t="s">
        <v>302</v>
      </c>
      <c r="C166" s="97" t="s">
        <v>302</v>
      </c>
      <c r="D166" s="86" t="s">
        <v>261</v>
      </c>
      <c r="E166" s="93">
        <v>0.065</v>
      </c>
      <c r="F166" s="82"/>
      <c r="G166" s="82"/>
      <c r="H166" s="82"/>
      <c r="I166" s="82"/>
      <c r="J166" s="82"/>
      <c r="K166" s="82"/>
      <c r="L166" s="82"/>
      <c r="M166" s="82"/>
      <c r="N166" s="82"/>
      <c r="O166" s="82"/>
      <c r="P166" s="82"/>
      <c r="Q166" s="82"/>
      <c r="R166" s="82"/>
      <c r="S166" s="82"/>
      <c r="T166" s="82"/>
      <c r="U166" s="82"/>
      <c r="V166" s="82"/>
      <c r="W166" s="82"/>
      <c r="X166" s="82"/>
      <c r="Y166" s="82"/>
      <c r="Z166" s="82"/>
    </row>
    <row r="167">
      <c r="A167" s="95"/>
      <c r="B167" s="90" t="s">
        <v>303</v>
      </c>
      <c r="C167" s="91" t="s">
        <v>303</v>
      </c>
      <c r="D167" s="86" t="s">
        <v>235</v>
      </c>
      <c r="E167" s="93">
        <v>0.095</v>
      </c>
      <c r="F167" s="82"/>
      <c r="G167" s="82"/>
      <c r="H167" s="82"/>
      <c r="I167" s="82"/>
      <c r="J167" s="82"/>
      <c r="K167" s="82"/>
      <c r="L167" s="82"/>
      <c r="M167" s="82"/>
      <c r="N167" s="82"/>
      <c r="O167" s="82"/>
      <c r="P167" s="82"/>
      <c r="Q167" s="82"/>
      <c r="R167" s="82"/>
      <c r="S167" s="82"/>
      <c r="T167" s="82"/>
      <c r="U167" s="82"/>
      <c r="V167" s="82"/>
      <c r="W167" s="82"/>
      <c r="X167" s="82"/>
      <c r="Y167" s="82"/>
      <c r="Z167" s="82"/>
    </row>
    <row r="168">
      <c r="A168" s="89" t="s">
        <v>304</v>
      </c>
      <c r="B168" s="90" t="s">
        <v>305</v>
      </c>
      <c r="C168" s="91" t="s">
        <v>306</v>
      </c>
      <c r="D168" s="92" t="s">
        <v>81</v>
      </c>
      <c r="E168" s="93">
        <v>0.0825</v>
      </c>
      <c r="F168" s="82"/>
      <c r="G168" s="82"/>
      <c r="H168" s="82"/>
      <c r="I168" s="82"/>
      <c r="J168" s="82"/>
      <c r="K168" s="82"/>
      <c r="L168" s="82"/>
      <c r="M168" s="82"/>
      <c r="N168" s="82"/>
      <c r="O168" s="82"/>
      <c r="P168" s="82"/>
      <c r="Q168" s="82"/>
      <c r="R168" s="82"/>
      <c r="S168" s="82"/>
      <c r="T168" s="82"/>
      <c r="U168" s="82"/>
      <c r="V168" s="82"/>
      <c r="W168" s="82"/>
      <c r="X168" s="82"/>
      <c r="Y168" s="82"/>
      <c r="Z168" s="82"/>
    </row>
    <row r="169">
      <c r="A169" s="94"/>
      <c r="B169" s="90" t="s">
        <v>307</v>
      </c>
      <c r="C169" s="91" t="s">
        <v>308</v>
      </c>
      <c r="D169" s="94"/>
      <c r="E169" s="93">
        <v>0.0825</v>
      </c>
      <c r="F169" s="82"/>
      <c r="G169" s="82"/>
      <c r="H169" s="82"/>
      <c r="I169" s="82"/>
      <c r="J169" s="82"/>
      <c r="K169" s="82"/>
      <c r="L169" s="82"/>
      <c r="M169" s="82"/>
      <c r="N169" s="82"/>
      <c r="O169" s="82"/>
      <c r="P169" s="82"/>
      <c r="Q169" s="82"/>
      <c r="R169" s="82"/>
      <c r="S169" s="82"/>
      <c r="T169" s="82"/>
      <c r="U169" s="82"/>
      <c r="V169" s="82"/>
      <c r="W169" s="82"/>
      <c r="X169" s="82"/>
      <c r="Y169" s="82"/>
      <c r="Z169" s="82"/>
    </row>
    <row r="170">
      <c r="A170" s="94"/>
      <c r="B170" s="90" t="s">
        <v>309</v>
      </c>
      <c r="C170" s="91" t="s">
        <v>309</v>
      </c>
      <c r="D170" s="94"/>
      <c r="E170" s="93">
        <v>0.0825</v>
      </c>
      <c r="F170" s="82"/>
      <c r="G170" s="82"/>
      <c r="H170" s="82"/>
      <c r="I170" s="82"/>
      <c r="J170" s="82"/>
      <c r="K170" s="82"/>
      <c r="L170" s="82"/>
      <c r="M170" s="82"/>
      <c r="N170" s="82"/>
      <c r="O170" s="82"/>
      <c r="P170" s="82"/>
      <c r="Q170" s="82"/>
      <c r="R170" s="82"/>
      <c r="S170" s="82"/>
      <c r="T170" s="82"/>
      <c r="U170" s="82"/>
      <c r="V170" s="82"/>
      <c r="W170" s="82"/>
      <c r="X170" s="82"/>
      <c r="Y170" s="82"/>
      <c r="Z170" s="82"/>
    </row>
    <row r="171">
      <c r="A171" s="94"/>
      <c r="B171" s="90" t="s">
        <v>310</v>
      </c>
      <c r="C171" s="91" t="s">
        <v>310</v>
      </c>
      <c r="D171" s="94"/>
      <c r="E171" s="93">
        <v>0.0825</v>
      </c>
      <c r="F171" s="82"/>
      <c r="G171" s="82"/>
      <c r="H171" s="82"/>
      <c r="I171" s="82"/>
      <c r="J171" s="82"/>
      <c r="K171" s="82"/>
      <c r="L171" s="82"/>
      <c r="M171" s="82"/>
      <c r="N171" s="82"/>
      <c r="O171" s="82"/>
      <c r="P171" s="82"/>
      <c r="Q171" s="82"/>
      <c r="R171" s="82"/>
      <c r="S171" s="82"/>
      <c r="T171" s="82"/>
      <c r="U171" s="82"/>
      <c r="V171" s="82"/>
      <c r="W171" s="82"/>
      <c r="X171" s="82"/>
      <c r="Y171" s="82"/>
      <c r="Z171" s="82"/>
    </row>
    <row r="172">
      <c r="A172" s="94"/>
      <c r="B172" s="90" t="s">
        <v>311</v>
      </c>
      <c r="C172" s="91" t="s">
        <v>312</v>
      </c>
      <c r="D172" s="94"/>
      <c r="E172" s="93">
        <v>0.0825</v>
      </c>
      <c r="F172" s="82"/>
      <c r="G172" s="82"/>
      <c r="H172" s="82"/>
      <c r="I172" s="82"/>
      <c r="J172" s="82"/>
      <c r="K172" s="82"/>
      <c r="L172" s="82"/>
      <c r="M172" s="82"/>
      <c r="N172" s="82"/>
      <c r="O172" s="82"/>
      <c r="P172" s="82"/>
      <c r="Q172" s="82"/>
      <c r="R172" s="82"/>
      <c r="S172" s="82"/>
      <c r="T172" s="82"/>
      <c r="U172" s="82"/>
      <c r="V172" s="82"/>
      <c r="W172" s="82"/>
      <c r="X172" s="82"/>
      <c r="Y172" s="82"/>
      <c r="Z172" s="82"/>
    </row>
    <row r="173">
      <c r="A173" s="94"/>
      <c r="B173" s="90" t="s">
        <v>313</v>
      </c>
      <c r="C173" s="91" t="s">
        <v>314</v>
      </c>
      <c r="D173" s="94"/>
      <c r="E173" s="93">
        <v>0.0825</v>
      </c>
      <c r="F173" s="82"/>
      <c r="G173" s="82"/>
      <c r="H173" s="82"/>
      <c r="I173" s="82"/>
      <c r="J173" s="82"/>
      <c r="K173" s="82"/>
      <c r="L173" s="82"/>
      <c r="M173" s="82"/>
      <c r="N173" s="82"/>
      <c r="O173" s="82"/>
      <c r="P173" s="82"/>
      <c r="Q173" s="82"/>
      <c r="R173" s="82"/>
      <c r="S173" s="82"/>
      <c r="T173" s="82"/>
      <c r="U173" s="82"/>
      <c r="V173" s="82"/>
      <c r="W173" s="82"/>
      <c r="X173" s="82"/>
      <c r="Y173" s="82"/>
      <c r="Z173" s="82"/>
    </row>
    <row r="174">
      <c r="A174" s="94"/>
      <c r="B174" s="90" t="s">
        <v>315</v>
      </c>
      <c r="C174" s="91" t="s">
        <v>316</v>
      </c>
      <c r="D174" s="94"/>
      <c r="E174" s="93">
        <v>0.0825</v>
      </c>
      <c r="F174" s="82"/>
      <c r="G174" s="82"/>
      <c r="H174" s="82"/>
      <c r="I174" s="82"/>
      <c r="J174" s="82"/>
      <c r="K174" s="82"/>
      <c r="L174" s="82"/>
      <c r="M174" s="82"/>
      <c r="N174" s="82"/>
      <c r="O174" s="82"/>
      <c r="P174" s="82"/>
      <c r="Q174" s="82"/>
      <c r="R174" s="82"/>
      <c r="S174" s="82"/>
      <c r="T174" s="82"/>
      <c r="U174" s="82"/>
      <c r="V174" s="82"/>
      <c r="W174" s="82"/>
      <c r="X174" s="82"/>
      <c r="Y174" s="82"/>
      <c r="Z174" s="82"/>
    </row>
    <row r="175">
      <c r="A175" s="94"/>
      <c r="B175" s="90" t="s">
        <v>317</v>
      </c>
      <c r="C175" s="91" t="s">
        <v>318</v>
      </c>
      <c r="D175" s="94"/>
      <c r="E175" s="93">
        <v>0.0825</v>
      </c>
      <c r="F175" s="82"/>
      <c r="G175" s="82"/>
      <c r="H175" s="82"/>
      <c r="I175" s="82"/>
      <c r="J175" s="82"/>
      <c r="K175" s="82"/>
      <c r="L175" s="82"/>
      <c r="M175" s="82"/>
      <c r="N175" s="82"/>
      <c r="O175" s="82"/>
      <c r="P175" s="82"/>
      <c r="Q175" s="82"/>
      <c r="R175" s="82"/>
      <c r="S175" s="82"/>
      <c r="T175" s="82"/>
      <c r="U175" s="82"/>
      <c r="V175" s="82"/>
      <c r="W175" s="82"/>
      <c r="X175" s="82"/>
      <c r="Y175" s="82"/>
      <c r="Z175" s="82"/>
    </row>
    <row r="176">
      <c r="A176" s="94"/>
      <c r="B176" s="90" t="s">
        <v>319</v>
      </c>
      <c r="C176" s="91" t="s">
        <v>320</v>
      </c>
      <c r="D176" s="94"/>
      <c r="E176" s="93">
        <v>0.0825</v>
      </c>
      <c r="F176" s="82"/>
      <c r="G176" s="82"/>
      <c r="H176" s="82"/>
      <c r="I176" s="82"/>
      <c r="J176" s="82"/>
      <c r="K176" s="82"/>
      <c r="L176" s="82"/>
      <c r="M176" s="82"/>
      <c r="N176" s="82"/>
      <c r="O176" s="82"/>
      <c r="P176" s="82"/>
      <c r="Q176" s="82"/>
      <c r="R176" s="82"/>
      <c r="S176" s="82"/>
      <c r="T176" s="82"/>
      <c r="U176" s="82"/>
      <c r="V176" s="82"/>
      <c r="W176" s="82"/>
      <c r="X176" s="82"/>
      <c r="Y176" s="82"/>
      <c r="Z176" s="82"/>
    </row>
    <row r="177">
      <c r="A177" s="95"/>
      <c r="B177" s="90" t="s">
        <v>321</v>
      </c>
      <c r="C177" s="91" t="s">
        <v>321</v>
      </c>
      <c r="D177" s="95"/>
      <c r="E177" s="93">
        <v>0.0825</v>
      </c>
      <c r="F177" s="82"/>
      <c r="G177" s="82"/>
      <c r="H177" s="82"/>
      <c r="I177" s="82"/>
      <c r="J177" s="82"/>
      <c r="K177" s="82"/>
      <c r="L177" s="82"/>
      <c r="M177" s="82"/>
      <c r="N177" s="82"/>
      <c r="O177" s="82"/>
      <c r="P177" s="82"/>
      <c r="Q177" s="82"/>
      <c r="R177" s="82"/>
      <c r="S177" s="82"/>
      <c r="T177" s="82"/>
      <c r="U177" s="82"/>
      <c r="V177" s="82"/>
      <c r="W177" s="82"/>
      <c r="X177" s="82"/>
      <c r="Y177" s="82"/>
      <c r="Z177" s="82"/>
    </row>
    <row r="178">
      <c r="A178" s="81" t="s">
        <v>227</v>
      </c>
      <c r="B178" s="82"/>
      <c r="C178" s="83"/>
      <c r="D178" s="82"/>
      <c r="E178" s="84"/>
      <c r="F178" s="82"/>
      <c r="G178" s="82"/>
      <c r="H178" s="82"/>
      <c r="I178" s="82"/>
      <c r="J178" s="82"/>
      <c r="K178" s="82"/>
      <c r="L178" s="82"/>
      <c r="M178" s="82"/>
      <c r="N178" s="82"/>
      <c r="O178" s="82"/>
      <c r="P178" s="82"/>
      <c r="Q178" s="82"/>
      <c r="R178" s="82"/>
      <c r="S178" s="82"/>
      <c r="T178" s="82"/>
      <c r="U178" s="82"/>
      <c r="V178" s="82"/>
      <c r="W178" s="82"/>
      <c r="X178" s="82"/>
      <c r="Y178" s="82"/>
      <c r="Z178" s="82"/>
    </row>
    <row r="179">
      <c r="A179" s="85"/>
      <c r="B179" s="82"/>
      <c r="C179" s="83"/>
      <c r="D179" s="82"/>
      <c r="E179" s="84"/>
      <c r="F179" s="82"/>
      <c r="G179" s="82"/>
      <c r="H179" s="82"/>
      <c r="I179" s="82"/>
      <c r="J179" s="82"/>
      <c r="K179" s="82"/>
      <c r="L179" s="82"/>
      <c r="M179" s="82"/>
      <c r="N179" s="82"/>
      <c r="O179" s="82"/>
      <c r="P179" s="82"/>
      <c r="Q179" s="82"/>
      <c r="R179" s="82"/>
      <c r="S179" s="82"/>
      <c r="T179" s="82"/>
      <c r="U179" s="82"/>
      <c r="V179" s="82"/>
      <c r="W179" s="82"/>
      <c r="X179" s="82"/>
      <c r="Y179" s="82"/>
      <c r="Z179" s="82"/>
    </row>
    <row r="180">
      <c r="A180" s="81" t="s">
        <v>322</v>
      </c>
      <c r="B180" s="82"/>
      <c r="C180" s="83"/>
      <c r="D180" s="82"/>
      <c r="E180" s="84"/>
      <c r="F180" s="82"/>
      <c r="G180" s="82"/>
      <c r="H180" s="82"/>
      <c r="I180" s="82"/>
      <c r="J180" s="82"/>
      <c r="K180" s="82"/>
      <c r="L180" s="82"/>
      <c r="M180" s="82"/>
      <c r="N180" s="82"/>
      <c r="O180" s="82"/>
      <c r="P180" s="82"/>
      <c r="Q180" s="82"/>
      <c r="R180" s="82"/>
      <c r="S180" s="82"/>
      <c r="T180" s="82"/>
      <c r="U180" s="82"/>
      <c r="V180" s="82"/>
      <c r="W180" s="82"/>
      <c r="X180" s="82"/>
      <c r="Y180" s="82"/>
      <c r="Z180" s="82"/>
    </row>
    <row r="181">
      <c r="A181" s="85"/>
      <c r="B181" s="82"/>
      <c r="C181" s="83"/>
      <c r="D181" s="82"/>
      <c r="E181" s="84"/>
      <c r="F181" s="82"/>
      <c r="G181" s="82"/>
      <c r="H181" s="82"/>
      <c r="I181" s="82"/>
      <c r="J181" s="82"/>
      <c r="K181" s="82"/>
      <c r="L181" s="82"/>
      <c r="M181" s="82"/>
      <c r="N181" s="82"/>
      <c r="O181" s="82"/>
      <c r="P181" s="82"/>
      <c r="Q181" s="82"/>
      <c r="R181" s="82"/>
      <c r="S181" s="82"/>
      <c r="T181" s="82"/>
      <c r="U181" s="82"/>
      <c r="V181" s="82"/>
      <c r="W181" s="82"/>
      <c r="X181" s="82"/>
      <c r="Y181" s="82"/>
      <c r="Z181" s="82"/>
    </row>
    <row r="182">
      <c r="A182" s="86" t="s">
        <v>59</v>
      </c>
      <c r="B182" s="87" t="s">
        <v>229</v>
      </c>
      <c r="C182" s="88" t="s">
        <v>230</v>
      </c>
      <c r="D182" s="87" t="s">
        <v>60</v>
      </c>
      <c r="E182" s="84"/>
      <c r="F182" s="82"/>
      <c r="G182" s="82"/>
      <c r="H182" s="82"/>
      <c r="I182" s="82"/>
      <c r="J182" s="82"/>
      <c r="K182" s="82"/>
      <c r="L182" s="82"/>
      <c r="M182" s="82"/>
      <c r="N182" s="82"/>
      <c r="O182" s="82"/>
      <c r="P182" s="82"/>
      <c r="Q182" s="82"/>
      <c r="R182" s="82"/>
      <c r="S182" s="82"/>
      <c r="T182" s="82"/>
      <c r="U182" s="82"/>
      <c r="V182" s="82"/>
      <c r="W182" s="82"/>
      <c r="X182" s="82"/>
      <c r="Y182" s="82"/>
      <c r="Z182" s="82"/>
    </row>
    <row r="183">
      <c r="A183" s="89" t="s">
        <v>323</v>
      </c>
      <c r="B183" s="90" t="s">
        <v>324</v>
      </c>
      <c r="C183" s="91" t="s">
        <v>325</v>
      </c>
      <c r="D183" s="86" t="s">
        <v>235</v>
      </c>
      <c r="E183" s="93">
        <v>0.095</v>
      </c>
      <c r="F183" s="82"/>
      <c r="G183" s="82"/>
      <c r="H183" s="82"/>
      <c r="I183" s="82"/>
      <c r="J183" s="82"/>
      <c r="K183" s="82"/>
      <c r="L183" s="82"/>
      <c r="M183" s="82"/>
      <c r="N183" s="82"/>
      <c r="O183" s="82"/>
      <c r="P183" s="82"/>
      <c r="Q183" s="82"/>
      <c r="R183" s="82"/>
      <c r="S183" s="82"/>
      <c r="T183" s="82"/>
      <c r="U183" s="82"/>
      <c r="V183" s="82"/>
      <c r="W183" s="82"/>
      <c r="X183" s="82"/>
      <c r="Y183" s="82"/>
      <c r="Z183" s="82"/>
    </row>
    <row r="184">
      <c r="A184" s="94"/>
      <c r="B184" s="90" t="s">
        <v>326</v>
      </c>
      <c r="C184" s="91" t="s">
        <v>326</v>
      </c>
      <c r="D184" s="92" t="s">
        <v>64</v>
      </c>
      <c r="E184" s="93">
        <v>0.09</v>
      </c>
      <c r="F184" s="82"/>
      <c r="G184" s="82"/>
      <c r="H184" s="82"/>
      <c r="I184" s="82"/>
      <c r="J184" s="82"/>
      <c r="K184" s="82"/>
      <c r="L184" s="82"/>
      <c r="M184" s="82"/>
      <c r="N184" s="82"/>
      <c r="O184" s="82"/>
      <c r="P184" s="82"/>
      <c r="Q184" s="82"/>
      <c r="R184" s="82"/>
      <c r="S184" s="82"/>
      <c r="T184" s="82"/>
      <c r="U184" s="82"/>
      <c r="V184" s="82"/>
      <c r="W184" s="82"/>
      <c r="X184" s="82"/>
      <c r="Y184" s="82"/>
      <c r="Z184" s="82"/>
    </row>
    <row r="185">
      <c r="A185" s="94"/>
      <c r="B185" s="90" t="s">
        <v>327</v>
      </c>
      <c r="C185" s="91" t="s">
        <v>327</v>
      </c>
      <c r="D185" s="94"/>
      <c r="E185" s="93">
        <v>0.09</v>
      </c>
      <c r="F185" s="82"/>
      <c r="G185" s="82"/>
      <c r="H185" s="82"/>
      <c r="I185" s="82"/>
      <c r="J185" s="82"/>
      <c r="K185" s="82"/>
      <c r="L185" s="82"/>
      <c r="M185" s="82"/>
      <c r="N185" s="82"/>
      <c r="O185" s="82"/>
      <c r="P185" s="82"/>
      <c r="Q185" s="82"/>
      <c r="R185" s="82"/>
      <c r="S185" s="82"/>
      <c r="T185" s="82"/>
      <c r="U185" s="82"/>
      <c r="V185" s="82"/>
      <c r="W185" s="82"/>
      <c r="X185" s="82"/>
      <c r="Y185" s="82"/>
      <c r="Z185" s="82"/>
    </row>
    <row r="186">
      <c r="A186" s="94"/>
      <c r="B186" s="90" t="s">
        <v>328</v>
      </c>
      <c r="C186" s="91" t="s">
        <v>328</v>
      </c>
      <c r="D186" s="94"/>
      <c r="E186" s="93">
        <v>0.09</v>
      </c>
      <c r="F186" s="82"/>
      <c r="G186" s="82"/>
      <c r="H186" s="82"/>
      <c r="I186" s="82"/>
      <c r="J186" s="82"/>
      <c r="K186" s="82"/>
      <c r="L186" s="82"/>
      <c r="M186" s="82"/>
      <c r="N186" s="82"/>
      <c r="O186" s="82"/>
      <c r="P186" s="82"/>
      <c r="Q186" s="82"/>
      <c r="R186" s="82"/>
      <c r="S186" s="82"/>
      <c r="T186" s="82"/>
      <c r="U186" s="82"/>
      <c r="V186" s="82"/>
      <c r="W186" s="82"/>
      <c r="X186" s="82"/>
      <c r="Y186" s="82"/>
      <c r="Z186" s="82"/>
    </row>
    <row r="187">
      <c r="A187" s="94"/>
      <c r="B187" s="90" t="s">
        <v>329</v>
      </c>
      <c r="C187" s="91" t="s">
        <v>330</v>
      </c>
      <c r="D187" s="95"/>
      <c r="E187" s="93">
        <v>0.09</v>
      </c>
      <c r="F187" s="82"/>
      <c r="G187" s="82"/>
      <c r="H187" s="82"/>
      <c r="I187" s="82"/>
      <c r="J187" s="82"/>
      <c r="K187" s="82"/>
      <c r="L187" s="82"/>
      <c r="M187" s="82"/>
      <c r="N187" s="82"/>
      <c r="O187" s="82"/>
      <c r="P187" s="82"/>
      <c r="Q187" s="82"/>
      <c r="R187" s="82"/>
      <c r="S187" s="82"/>
      <c r="T187" s="82"/>
      <c r="U187" s="82"/>
      <c r="V187" s="82"/>
      <c r="W187" s="82"/>
      <c r="X187" s="82"/>
      <c r="Y187" s="82"/>
      <c r="Z187" s="82"/>
    </row>
    <row r="188">
      <c r="A188" s="94"/>
      <c r="B188" s="90" t="s">
        <v>331</v>
      </c>
      <c r="C188" s="91" t="s">
        <v>331</v>
      </c>
      <c r="D188" s="86" t="s">
        <v>259</v>
      </c>
      <c r="E188" s="93">
        <v>0.0675</v>
      </c>
      <c r="F188" s="82"/>
      <c r="G188" s="82"/>
      <c r="H188" s="82"/>
      <c r="I188" s="82"/>
      <c r="J188" s="82"/>
      <c r="K188" s="82"/>
      <c r="L188" s="82"/>
      <c r="M188" s="82"/>
      <c r="N188" s="82"/>
      <c r="O188" s="82"/>
      <c r="P188" s="82"/>
      <c r="Q188" s="82"/>
      <c r="R188" s="82"/>
      <c r="S188" s="82"/>
      <c r="T188" s="82"/>
      <c r="U188" s="82"/>
      <c r="V188" s="82"/>
      <c r="W188" s="82"/>
      <c r="X188" s="82"/>
      <c r="Y188" s="82"/>
      <c r="Z188" s="82"/>
    </row>
    <row r="189">
      <c r="A189" s="95"/>
      <c r="B189" s="90" t="s">
        <v>332</v>
      </c>
      <c r="C189" s="91" t="s">
        <v>332</v>
      </c>
      <c r="D189" s="86" t="s">
        <v>64</v>
      </c>
      <c r="E189" s="93">
        <v>0.09</v>
      </c>
      <c r="F189" s="82"/>
      <c r="G189" s="82"/>
      <c r="H189" s="82"/>
      <c r="I189" s="82"/>
      <c r="J189" s="82"/>
      <c r="K189" s="82"/>
      <c r="L189" s="82"/>
      <c r="M189" s="82"/>
      <c r="N189" s="82"/>
      <c r="O189" s="82"/>
      <c r="P189" s="82"/>
      <c r="Q189" s="82"/>
      <c r="R189" s="82"/>
      <c r="S189" s="82"/>
      <c r="T189" s="82"/>
      <c r="U189" s="82"/>
      <c r="V189" s="82"/>
      <c r="W189" s="82"/>
      <c r="X189" s="82"/>
      <c r="Y189" s="82"/>
      <c r="Z189" s="82"/>
    </row>
    <row r="190">
      <c r="A190" s="89" t="s">
        <v>333</v>
      </c>
      <c r="B190" s="90" t="s">
        <v>334</v>
      </c>
      <c r="C190" s="91" t="s">
        <v>335</v>
      </c>
      <c r="D190" s="86" t="s">
        <v>106</v>
      </c>
      <c r="E190" s="93">
        <v>0.1</v>
      </c>
      <c r="F190" s="82"/>
      <c r="G190" s="82"/>
      <c r="H190" s="82"/>
      <c r="I190" s="82"/>
      <c r="J190" s="82"/>
      <c r="K190" s="82"/>
      <c r="L190" s="82"/>
      <c r="M190" s="82"/>
      <c r="N190" s="82"/>
      <c r="O190" s="82"/>
      <c r="P190" s="82"/>
      <c r="Q190" s="82"/>
      <c r="R190" s="82"/>
      <c r="S190" s="82"/>
      <c r="T190" s="82"/>
      <c r="U190" s="82"/>
      <c r="V190" s="82"/>
      <c r="W190" s="82"/>
      <c r="X190" s="82"/>
      <c r="Y190" s="82"/>
      <c r="Z190" s="82"/>
    </row>
    <row r="191">
      <c r="A191" s="94"/>
      <c r="B191" s="90" t="s">
        <v>336</v>
      </c>
      <c r="C191" s="91" t="s">
        <v>336</v>
      </c>
      <c r="D191" s="92" t="s">
        <v>235</v>
      </c>
      <c r="E191" s="93">
        <v>0.095</v>
      </c>
      <c r="F191" s="82"/>
      <c r="G191" s="82"/>
      <c r="H191" s="82"/>
      <c r="I191" s="82"/>
      <c r="J191" s="82"/>
      <c r="K191" s="82"/>
      <c r="L191" s="82"/>
      <c r="M191" s="82"/>
      <c r="N191" s="82"/>
      <c r="O191" s="82"/>
      <c r="P191" s="82"/>
      <c r="Q191" s="82"/>
      <c r="R191" s="82"/>
      <c r="S191" s="82"/>
      <c r="T191" s="82"/>
      <c r="U191" s="82"/>
      <c r="V191" s="82"/>
      <c r="W191" s="82"/>
      <c r="X191" s="82"/>
      <c r="Y191" s="82"/>
      <c r="Z191" s="82"/>
    </row>
    <row r="192">
      <c r="A192" s="94"/>
      <c r="B192" s="91" t="s">
        <v>337</v>
      </c>
      <c r="C192" s="91" t="s">
        <v>337</v>
      </c>
      <c r="D192" s="94"/>
      <c r="E192" s="93">
        <v>0.095</v>
      </c>
      <c r="F192" s="82"/>
      <c r="G192" s="82"/>
      <c r="H192" s="82"/>
      <c r="I192" s="82"/>
      <c r="J192" s="82"/>
      <c r="K192" s="82"/>
      <c r="L192" s="82"/>
      <c r="M192" s="82"/>
      <c r="N192" s="82"/>
      <c r="O192" s="82"/>
      <c r="P192" s="82"/>
      <c r="Q192" s="82"/>
      <c r="R192" s="82"/>
      <c r="S192" s="82"/>
      <c r="T192" s="82"/>
      <c r="U192" s="82"/>
      <c r="V192" s="82"/>
      <c r="W192" s="82"/>
      <c r="X192" s="82"/>
      <c r="Y192" s="82"/>
      <c r="Z192" s="82"/>
    </row>
    <row r="193">
      <c r="A193" s="94"/>
      <c r="B193" s="90" t="s">
        <v>338</v>
      </c>
      <c r="C193" s="91" t="s">
        <v>339</v>
      </c>
      <c r="D193" s="95"/>
      <c r="E193" s="93">
        <v>0.095</v>
      </c>
      <c r="F193" s="82"/>
      <c r="G193" s="82"/>
      <c r="H193" s="82"/>
      <c r="I193" s="82"/>
      <c r="J193" s="82"/>
      <c r="K193" s="82"/>
      <c r="L193" s="82"/>
      <c r="M193" s="82"/>
      <c r="N193" s="82"/>
      <c r="O193" s="82"/>
      <c r="P193" s="82"/>
      <c r="Q193" s="82"/>
      <c r="R193" s="82"/>
      <c r="S193" s="82"/>
      <c r="T193" s="82"/>
      <c r="U193" s="82"/>
      <c r="V193" s="82"/>
      <c r="W193" s="82"/>
      <c r="X193" s="82"/>
      <c r="Y193" s="82"/>
      <c r="Z193" s="82"/>
    </row>
    <row r="194">
      <c r="A194" s="94"/>
      <c r="B194" s="91" t="s">
        <v>340</v>
      </c>
      <c r="C194" s="91" t="s">
        <v>340</v>
      </c>
      <c r="D194" s="92" t="s">
        <v>64</v>
      </c>
      <c r="E194" s="93">
        <v>0.09</v>
      </c>
      <c r="F194" s="82"/>
      <c r="G194" s="82"/>
      <c r="H194" s="82"/>
      <c r="I194" s="82"/>
      <c r="J194" s="82"/>
      <c r="K194" s="82"/>
      <c r="L194" s="82"/>
      <c r="M194" s="82"/>
      <c r="N194" s="82"/>
      <c r="O194" s="82"/>
      <c r="P194" s="82"/>
      <c r="Q194" s="82"/>
      <c r="R194" s="82"/>
      <c r="S194" s="82"/>
      <c r="T194" s="82"/>
      <c r="U194" s="82"/>
      <c r="V194" s="82"/>
      <c r="W194" s="82"/>
      <c r="X194" s="82"/>
      <c r="Y194" s="82"/>
      <c r="Z194" s="82"/>
    </row>
    <row r="195">
      <c r="A195" s="94"/>
      <c r="B195" s="90" t="s">
        <v>338</v>
      </c>
      <c r="C195" s="91" t="s">
        <v>341</v>
      </c>
      <c r="D195" s="94"/>
      <c r="E195" s="93">
        <v>0.09</v>
      </c>
      <c r="F195" s="82"/>
      <c r="G195" s="82"/>
      <c r="H195" s="82"/>
      <c r="I195" s="82"/>
      <c r="J195" s="82"/>
      <c r="K195" s="82"/>
      <c r="L195" s="82"/>
      <c r="M195" s="82"/>
      <c r="N195" s="82"/>
      <c r="O195" s="82"/>
      <c r="P195" s="82"/>
      <c r="Q195" s="82"/>
      <c r="R195" s="82"/>
      <c r="S195" s="82"/>
      <c r="T195" s="82"/>
      <c r="U195" s="82"/>
      <c r="V195" s="82"/>
      <c r="W195" s="82"/>
      <c r="X195" s="82"/>
      <c r="Y195" s="82"/>
      <c r="Z195" s="82"/>
    </row>
    <row r="196">
      <c r="A196" s="94"/>
      <c r="B196" s="90" t="s">
        <v>342</v>
      </c>
      <c r="C196" s="91" t="s">
        <v>342</v>
      </c>
      <c r="D196" s="94"/>
      <c r="E196" s="93">
        <v>0.09</v>
      </c>
      <c r="F196" s="82"/>
      <c r="G196" s="82"/>
      <c r="H196" s="82"/>
      <c r="I196" s="82"/>
      <c r="J196" s="82"/>
      <c r="K196" s="82"/>
      <c r="L196" s="82"/>
      <c r="M196" s="82"/>
      <c r="N196" s="82"/>
      <c r="O196" s="82"/>
      <c r="P196" s="82"/>
      <c r="Q196" s="82"/>
      <c r="R196" s="82"/>
      <c r="S196" s="82"/>
      <c r="T196" s="82"/>
      <c r="U196" s="82"/>
      <c r="V196" s="82"/>
      <c r="W196" s="82"/>
      <c r="X196" s="82"/>
      <c r="Y196" s="82"/>
      <c r="Z196" s="82"/>
    </row>
    <row r="197">
      <c r="A197" s="94"/>
      <c r="B197" s="90" t="s">
        <v>343</v>
      </c>
      <c r="C197" s="91" t="s">
        <v>344</v>
      </c>
      <c r="D197" s="95"/>
      <c r="E197" s="93">
        <v>0.09</v>
      </c>
      <c r="F197" s="82"/>
      <c r="G197" s="82"/>
      <c r="H197" s="82"/>
      <c r="I197" s="82"/>
      <c r="J197" s="82"/>
      <c r="K197" s="82"/>
      <c r="L197" s="82"/>
      <c r="M197" s="82"/>
      <c r="N197" s="82"/>
      <c r="O197" s="82"/>
      <c r="P197" s="82"/>
      <c r="Q197" s="82"/>
      <c r="R197" s="82"/>
      <c r="S197" s="82"/>
      <c r="T197" s="82"/>
      <c r="U197" s="82"/>
      <c r="V197" s="82"/>
      <c r="W197" s="82"/>
      <c r="X197" s="82"/>
      <c r="Y197" s="82"/>
      <c r="Z197" s="82"/>
    </row>
    <row r="198">
      <c r="A198" s="94"/>
      <c r="B198" s="90" t="s">
        <v>345</v>
      </c>
      <c r="C198" s="91" t="s">
        <v>346</v>
      </c>
      <c r="D198" s="92" t="s">
        <v>261</v>
      </c>
      <c r="E198" s="93">
        <v>0.065</v>
      </c>
      <c r="F198" s="82"/>
      <c r="G198" s="82"/>
      <c r="H198" s="82"/>
      <c r="I198" s="82"/>
      <c r="J198" s="82"/>
      <c r="K198" s="82"/>
      <c r="L198" s="82"/>
      <c r="M198" s="82"/>
      <c r="N198" s="82"/>
      <c r="O198" s="82"/>
      <c r="P198" s="82"/>
      <c r="Q198" s="82"/>
      <c r="R198" s="82"/>
      <c r="S198" s="82"/>
      <c r="T198" s="82"/>
      <c r="U198" s="82"/>
      <c r="V198" s="82"/>
      <c r="W198" s="82"/>
      <c r="X198" s="82"/>
      <c r="Y198" s="82"/>
      <c r="Z198" s="82"/>
    </row>
    <row r="199">
      <c r="A199" s="94"/>
      <c r="B199" s="90" t="s">
        <v>338</v>
      </c>
      <c r="C199" s="91" t="s">
        <v>347</v>
      </c>
      <c r="D199" s="94"/>
      <c r="E199" s="93">
        <v>0.065</v>
      </c>
      <c r="F199" s="82"/>
      <c r="G199" s="82"/>
      <c r="H199" s="82"/>
      <c r="I199" s="82"/>
      <c r="J199" s="82"/>
      <c r="K199" s="82"/>
      <c r="L199" s="82"/>
      <c r="M199" s="82"/>
      <c r="N199" s="82"/>
      <c r="O199" s="82"/>
      <c r="P199" s="82"/>
      <c r="Q199" s="82"/>
      <c r="R199" s="82"/>
      <c r="S199" s="82"/>
      <c r="T199" s="82"/>
      <c r="U199" s="82"/>
      <c r="V199" s="82"/>
      <c r="W199" s="82"/>
      <c r="X199" s="82"/>
      <c r="Y199" s="82"/>
      <c r="Z199" s="82"/>
    </row>
    <row r="200">
      <c r="A200" s="94"/>
      <c r="B200" s="90" t="s">
        <v>348</v>
      </c>
      <c r="C200" s="91" t="s">
        <v>349</v>
      </c>
      <c r="D200" s="94"/>
      <c r="E200" s="93">
        <v>0.065</v>
      </c>
      <c r="F200" s="82"/>
      <c r="G200" s="82"/>
      <c r="H200" s="82"/>
      <c r="I200" s="82"/>
      <c r="J200" s="82"/>
      <c r="K200" s="82"/>
      <c r="L200" s="82"/>
      <c r="M200" s="82"/>
      <c r="N200" s="82"/>
      <c r="O200" s="82"/>
      <c r="P200" s="82"/>
      <c r="Q200" s="82"/>
      <c r="R200" s="82"/>
      <c r="S200" s="82"/>
      <c r="T200" s="82"/>
      <c r="U200" s="82"/>
      <c r="V200" s="82"/>
      <c r="W200" s="82"/>
      <c r="X200" s="82"/>
      <c r="Y200" s="82"/>
      <c r="Z200" s="82"/>
    </row>
    <row r="201">
      <c r="A201" s="94"/>
      <c r="B201" s="90" t="s">
        <v>350</v>
      </c>
      <c r="C201" s="91" t="s">
        <v>351</v>
      </c>
      <c r="D201" s="95"/>
      <c r="E201" s="93">
        <v>0.065</v>
      </c>
      <c r="F201" s="82"/>
      <c r="G201" s="82"/>
      <c r="H201" s="82"/>
      <c r="I201" s="82"/>
      <c r="J201" s="82"/>
      <c r="K201" s="82"/>
      <c r="L201" s="82"/>
      <c r="M201" s="82"/>
      <c r="N201" s="82"/>
      <c r="O201" s="82"/>
      <c r="P201" s="82"/>
      <c r="Q201" s="82"/>
      <c r="R201" s="82"/>
      <c r="S201" s="82"/>
      <c r="T201" s="82"/>
      <c r="U201" s="82"/>
      <c r="V201" s="82"/>
      <c r="W201" s="82"/>
      <c r="X201" s="82"/>
      <c r="Y201" s="82"/>
      <c r="Z201" s="82"/>
    </row>
    <row r="202">
      <c r="A202" s="94"/>
      <c r="B202" s="90" t="s">
        <v>352</v>
      </c>
      <c r="C202" s="91" t="s">
        <v>353</v>
      </c>
      <c r="D202" s="86" t="s">
        <v>354</v>
      </c>
      <c r="E202" s="93">
        <v>0.0525</v>
      </c>
      <c r="F202" s="82"/>
      <c r="G202" s="82"/>
      <c r="H202" s="82"/>
      <c r="I202" s="82"/>
      <c r="J202" s="82"/>
      <c r="K202" s="82"/>
      <c r="L202" s="82"/>
      <c r="M202" s="82"/>
      <c r="N202" s="82"/>
      <c r="O202" s="82"/>
      <c r="P202" s="82"/>
      <c r="Q202" s="82"/>
      <c r="R202" s="82"/>
      <c r="S202" s="82"/>
      <c r="T202" s="82"/>
      <c r="U202" s="82"/>
      <c r="V202" s="82"/>
      <c r="W202" s="82"/>
      <c r="X202" s="82"/>
      <c r="Y202" s="82"/>
      <c r="Z202" s="82"/>
    </row>
    <row r="203">
      <c r="A203" s="95"/>
      <c r="B203" s="90" t="s">
        <v>355</v>
      </c>
      <c r="C203" s="91" t="s">
        <v>355</v>
      </c>
      <c r="D203" s="86" t="s">
        <v>64</v>
      </c>
      <c r="E203" s="93">
        <v>0.09</v>
      </c>
      <c r="F203" s="82"/>
      <c r="G203" s="82"/>
      <c r="H203" s="82"/>
      <c r="I203" s="82"/>
      <c r="J203" s="82"/>
      <c r="K203" s="82"/>
      <c r="L203" s="82"/>
      <c r="M203" s="82"/>
      <c r="N203" s="82"/>
      <c r="O203" s="82"/>
      <c r="P203" s="82"/>
      <c r="Q203" s="82"/>
      <c r="R203" s="82"/>
      <c r="S203" s="82"/>
      <c r="T203" s="82"/>
      <c r="U203" s="82"/>
      <c r="V203" s="82"/>
      <c r="W203" s="82"/>
      <c r="X203" s="82"/>
      <c r="Y203" s="82"/>
      <c r="Z203" s="82"/>
    </row>
    <row r="204">
      <c r="A204" s="89" t="s">
        <v>356</v>
      </c>
      <c r="B204" s="90" t="s">
        <v>357</v>
      </c>
      <c r="C204" s="91" t="s">
        <v>358</v>
      </c>
      <c r="D204" s="92" t="s">
        <v>235</v>
      </c>
      <c r="E204" s="93">
        <v>0.095</v>
      </c>
      <c r="F204" s="82"/>
      <c r="G204" s="82"/>
      <c r="H204" s="82"/>
      <c r="I204" s="82"/>
      <c r="J204" s="82"/>
      <c r="K204" s="82"/>
      <c r="L204" s="82"/>
      <c r="M204" s="82"/>
      <c r="N204" s="82"/>
      <c r="O204" s="82"/>
      <c r="P204" s="82"/>
      <c r="Q204" s="82"/>
      <c r="R204" s="82"/>
      <c r="S204" s="82"/>
      <c r="T204" s="82"/>
      <c r="U204" s="82"/>
      <c r="V204" s="82"/>
      <c r="W204" s="82"/>
      <c r="X204" s="82"/>
      <c r="Y204" s="82"/>
      <c r="Z204" s="82"/>
    </row>
    <row r="205">
      <c r="A205" s="94"/>
      <c r="B205" s="90" t="s">
        <v>359</v>
      </c>
      <c r="C205" s="91" t="s">
        <v>360</v>
      </c>
      <c r="D205" s="95"/>
      <c r="E205" s="93">
        <v>0.095</v>
      </c>
      <c r="F205" s="82"/>
      <c r="G205" s="82"/>
      <c r="H205" s="82"/>
      <c r="I205" s="82"/>
      <c r="J205" s="82"/>
      <c r="K205" s="82"/>
      <c r="L205" s="82"/>
      <c r="M205" s="82"/>
      <c r="N205" s="82"/>
      <c r="O205" s="82"/>
      <c r="P205" s="82"/>
      <c r="Q205" s="82"/>
      <c r="R205" s="82"/>
      <c r="S205" s="82"/>
      <c r="T205" s="82"/>
      <c r="U205" s="82"/>
      <c r="V205" s="82"/>
      <c r="W205" s="82"/>
      <c r="X205" s="82"/>
      <c r="Y205" s="82"/>
      <c r="Z205" s="82"/>
    </row>
    <row r="206">
      <c r="A206" s="94"/>
      <c r="B206" s="90" t="s">
        <v>361</v>
      </c>
      <c r="C206" s="91" t="s">
        <v>361</v>
      </c>
      <c r="D206" s="92" t="s">
        <v>64</v>
      </c>
      <c r="E206" s="93">
        <v>0.09</v>
      </c>
      <c r="F206" s="82"/>
      <c r="G206" s="82"/>
      <c r="H206" s="82"/>
      <c r="I206" s="82"/>
      <c r="J206" s="82"/>
      <c r="K206" s="82"/>
      <c r="L206" s="82"/>
      <c r="M206" s="82"/>
      <c r="N206" s="82"/>
      <c r="O206" s="82"/>
      <c r="P206" s="82"/>
      <c r="Q206" s="82"/>
      <c r="R206" s="82"/>
      <c r="S206" s="82"/>
      <c r="T206" s="82"/>
      <c r="U206" s="82"/>
      <c r="V206" s="82"/>
      <c r="W206" s="82"/>
      <c r="X206" s="82"/>
      <c r="Y206" s="82"/>
      <c r="Z206" s="82"/>
    </row>
    <row r="207">
      <c r="A207" s="94"/>
      <c r="B207" s="90" t="s">
        <v>362</v>
      </c>
      <c r="C207" s="91" t="s">
        <v>362</v>
      </c>
      <c r="D207" s="95"/>
      <c r="E207" s="93">
        <v>0.09</v>
      </c>
      <c r="F207" s="82"/>
      <c r="G207" s="82"/>
      <c r="H207" s="82"/>
      <c r="I207" s="82"/>
      <c r="J207" s="82"/>
      <c r="K207" s="82"/>
      <c r="L207" s="82"/>
      <c r="M207" s="82"/>
      <c r="N207" s="82"/>
      <c r="O207" s="82"/>
      <c r="P207" s="82"/>
      <c r="Q207" s="82"/>
      <c r="R207" s="82"/>
      <c r="S207" s="82"/>
      <c r="T207" s="82"/>
      <c r="U207" s="82"/>
      <c r="V207" s="82"/>
      <c r="W207" s="82"/>
      <c r="X207" s="82"/>
      <c r="Y207" s="82"/>
      <c r="Z207" s="82"/>
    </row>
    <row r="208">
      <c r="A208" s="94"/>
      <c r="B208" s="90" t="s">
        <v>363</v>
      </c>
      <c r="C208" s="91" t="s">
        <v>364</v>
      </c>
      <c r="D208" s="92" t="s">
        <v>106</v>
      </c>
      <c r="E208" s="93">
        <v>0.1</v>
      </c>
      <c r="F208" s="82"/>
      <c r="G208" s="82"/>
      <c r="H208" s="82"/>
      <c r="I208" s="82"/>
      <c r="J208" s="82"/>
      <c r="K208" s="82"/>
      <c r="L208" s="82"/>
      <c r="M208" s="82"/>
      <c r="N208" s="82"/>
      <c r="O208" s="82"/>
      <c r="P208" s="82"/>
      <c r="Q208" s="82"/>
      <c r="R208" s="82"/>
      <c r="S208" s="82"/>
      <c r="T208" s="82"/>
      <c r="U208" s="82"/>
      <c r="V208" s="82"/>
      <c r="W208" s="82"/>
      <c r="X208" s="82"/>
      <c r="Y208" s="82"/>
      <c r="Z208" s="82"/>
    </row>
    <row r="209">
      <c r="A209" s="94"/>
      <c r="B209" s="90" t="s">
        <v>365</v>
      </c>
      <c r="C209" s="91" t="s">
        <v>366</v>
      </c>
      <c r="D209" s="95"/>
      <c r="E209" s="93">
        <v>0.1</v>
      </c>
      <c r="F209" s="82"/>
      <c r="G209" s="82"/>
      <c r="H209" s="82"/>
      <c r="I209" s="82"/>
      <c r="J209" s="82"/>
      <c r="K209" s="82"/>
      <c r="L209" s="82"/>
      <c r="M209" s="82"/>
      <c r="N209" s="82"/>
      <c r="O209" s="82"/>
      <c r="P209" s="82"/>
      <c r="Q209" s="82"/>
      <c r="R209" s="82"/>
      <c r="S209" s="82"/>
      <c r="T209" s="82"/>
      <c r="U209" s="82"/>
      <c r="V209" s="82"/>
      <c r="W209" s="82"/>
      <c r="X209" s="82"/>
      <c r="Y209" s="82"/>
      <c r="Z209" s="82"/>
    </row>
    <row r="210">
      <c r="A210" s="94"/>
      <c r="B210" s="90" t="s">
        <v>363</v>
      </c>
      <c r="C210" s="91" t="s">
        <v>367</v>
      </c>
      <c r="D210" s="92" t="s">
        <v>235</v>
      </c>
      <c r="E210" s="93">
        <v>0.095</v>
      </c>
      <c r="F210" s="82"/>
      <c r="G210" s="82"/>
      <c r="H210" s="82"/>
      <c r="I210" s="82"/>
      <c r="J210" s="82"/>
      <c r="K210" s="82"/>
      <c r="L210" s="82"/>
      <c r="M210" s="82"/>
      <c r="N210" s="82"/>
      <c r="O210" s="82"/>
      <c r="P210" s="82"/>
      <c r="Q210" s="82"/>
      <c r="R210" s="82"/>
      <c r="S210" s="82"/>
      <c r="T210" s="82"/>
      <c r="U210" s="82"/>
      <c r="V210" s="82"/>
      <c r="W210" s="82"/>
      <c r="X210" s="82"/>
      <c r="Y210" s="82"/>
      <c r="Z210" s="82"/>
    </row>
    <row r="211">
      <c r="A211" s="94"/>
      <c r="B211" s="90" t="s">
        <v>365</v>
      </c>
      <c r="C211" s="91" t="s">
        <v>368</v>
      </c>
      <c r="D211" s="95"/>
      <c r="E211" s="93">
        <v>0.095</v>
      </c>
      <c r="F211" s="82"/>
      <c r="G211" s="82"/>
      <c r="H211" s="82"/>
      <c r="I211" s="82"/>
      <c r="J211" s="82"/>
      <c r="K211" s="82"/>
      <c r="L211" s="82"/>
      <c r="M211" s="82"/>
      <c r="N211" s="82"/>
      <c r="O211" s="82"/>
      <c r="P211" s="82"/>
      <c r="Q211" s="82"/>
      <c r="R211" s="82"/>
      <c r="S211" s="82"/>
      <c r="T211" s="82"/>
      <c r="U211" s="82"/>
      <c r="V211" s="82"/>
      <c r="W211" s="82"/>
      <c r="X211" s="82"/>
      <c r="Y211" s="82"/>
      <c r="Z211" s="82"/>
    </row>
    <row r="212">
      <c r="A212" s="94"/>
      <c r="B212" s="90" t="s">
        <v>363</v>
      </c>
      <c r="C212" s="91" t="s">
        <v>369</v>
      </c>
      <c r="D212" s="92" t="s">
        <v>64</v>
      </c>
      <c r="E212" s="93">
        <v>0.09</v>
      </c>
      <c r="F212" s="82"/>
      <c r="G212" s="82"/>
      <c r="H212" s="82"/>
      <c r="I212" s="82"/>
      <c r="J212" s="82"/>
      <c r="K212" s="82"/>
      <c r="L212" s="82"/>
      <c r="M212" s="82"/>
      <c r="N212" s="82"/>
      <c r="O212" s="82"/>
      <c r="P212" s="82"/>
      <c r="Q212" s="82"/>
      <c r="R212" s="82"/>
      <c r="S212" s="82"/>
      <c r="T212" s="82"/>
      <c r="U212" s="82"/>
      <c r="V212" s="82"/>
      <c r="W212" s="82"/>
      <c r="X212" s="82"/>
      <c r="Y212" s="82"/>
      <c r="Z212" s="82"/>
    </row>
    <row r="213">
      <c r="A213" s="94"/>
      <c r="B213" s="90" t="s">
        <v>370</v>
      </c>
      <c r="C213" s="91" t="s">
        <v>370</v>
      </c>
      <c r="D213" s="94"/>
      <c r="E213" s="93">
        <v>0.09</v>
      </c>
      <c r="F213" s="82"/>
      <c r="G213" s="82"/>
      <c r="H213" s="82"/>
      <c r="I213" s="82"/>
      <c r="J213" s="82"/>
      <c r="K213" s="82"/>
      <c r="L213" s="82"/>
      <c r="M213" s="82"/>
      <c r="N213" s="82"/>
      <c r="O213" s="82"/>
      <c r="P213" s="82"/>
      <c r="Q213" s="82"/>
      <c r="R213" s="82"/>
      <c r="S213" s="82"/>
      <c r="T213" s="82"/>
      <c r="U213" s="82"/>
      <c r="V213" s="82"/>
      <c r="W213" s="82"/>
      <c r="X213" s="82"/>
      <c r="Y213" s="82"/>
      <c r="Z213" s="82"/>
    </row>
    <row r="214">
      <c r="A214" s="94"/>
      <c r="B214" s="90" t="s">
        <v>371</v>
      </c>
      <c r="C214" s="91" t="s">
        <v>371</v>
      </c>
      <c r="D214" s="95"/>
      <c r="E214" s="93">
        <v>0.09</v>
      </c>
      <c r="F214" s="82"/>
      <c r="G214" s="82"/>
      <c r="H214" s="82"/>
      <c r="I214" s="82"/>
      <c r="J214" s="82"/>
      <c r="K214" s="82"/>
      <c r="L214" s="82"/>
      <c r="M214" s="82"/>
      <c r="N214" s="82"/>
      <c r="O214" s="82"/>
      <c r="P214" s="82"/>
      <c r="Q214" s="82"/>
      <c r="R214" s="82"/>
      <c r="S214" s="82"/>
      <c r="T214" s="82"/>
      <c r="U214" s="82"/>
      <c r="V214" s="82"/>
      <c r="W214" s="82"/>
      <c r="X214" s="82"/>
      <c r="Y214" s="82"/>
      <c r="Z214" s="82"/>
    </row>
    <row r="215">
      <c r="A215" s="94"/>
      <c r="B215" s="90" t="s">
        <v>363</v>
      </c>
      <c r="C215" s="91" t="s">
        <v>372</v>
      </c>
      <c r="D215" s="86" t="s">
        <v>259</v>
      </c>
      <c r="E215" s="93">
        <v>0.0675</v>
      </c>
      <c r="F215" s="82"/>
      <c r="G215" s="82"/>
      <c r="H215" s="82"/>
      <c r="I215" s="82"/>
      <c r="J215" s="82"/>
      <c r="K215" s="82"/>
      <c r="L215" s="82"/>
      <c r="M215" s="82"/>
      <c r="N215" s="82"/>
      <c r="O215" s="82"/>
      <c r="P215" s="82"/>
      <c r="Q215" s="82"/>
      <c r="R215" s="82"/>
      <c r="S215" s="82"/>
      <c r="T215" s="82"/>
      <c r="U215" s="82"/>
      <c r="V215" s="82"/>
      <c r="W215" s="82"/>
      <c r="X215" s="82"/>
      <c r="Y215" s="82"/>
      <c r="Z215" s="82"/>
    </row>
    <row r="216">
      <c r="A216" s="94"/>
      <c r="B216" s="90" t="s">
        <v>373</v>
      </c>
      <c r="C216" s="91" t="s">
        <v>373</v>
      </c>
      <c r="D216" s="92" t="s">
        <v>354</v>
      </c>
      <c r="E216" s="93">
        <v>0.0525</v>
      </c>
      <c r="F216" s="82"/>
      <c r="G216" s="82"/>
      <c r="H216" s="82"/>
      <c r="I216" s="82"/>
      <c r="J216" s="82"/>
      <c r="K216" s="82"/>
      <c r="L216" s="82"/>
      <c r="M216" s="82"/>
      <c r="N216" s="82"/>
      <c r="O216" s="82"/>
      <c r="P216" s="82"/>
      <c r="Q216" s="82"/>
      <c r="R216" s="82"/>
      <c r="S216" s="82"/>
      <c r="T216" s="82"/>
      <c r="U216" s="82"/>
      <c r="V216" s="82"/>
      <c r="W216" s="82"/>
      <c r="X216" s="82"/>
      <c r="Y216" s="82"/>
      <c r="Z216" s="82"/>
    </row>
    <row r="217">
      <c r="A217" s="94"/>
      <c r="B217" s="90" t="s">
        <v>374</v>
      </c>
      <c r="C217" s="91" t="s">
        <v>374</v>
      </c>
      <c r="D217" s="95"/>
      <c r="E217" s="93">
        <v>0.0525</v>
      </c>
      <c r="F217" s="82"/>
      <c r="G217" s="82"/>
      <c r="H217" s="82"/>
      <c r="I217" s="82"/>
      <c r="J217" s="82"/>
      <c r="K217" s="82"/>
      <c r="L217" s="82"/>
      <c r="M217" s="82"/>
      <c r="N217" s="82"/>
      <c r="O217" s="82"/>
      <c r="P217" s="82"/>
      <c r="Q217" s="82"/>
      <c r="R217" s="82"/>
      <c r="S217" s="82"/>
      <c r="T217" s="82"/>
      <c r="U217" s="82"/>
      <c r="V217" s="82"/>
      <c r="W217" s="82"/>
      <c r="X217" s="82"/>
      <c r="Y217" s="82"/>
      <c r="Z217" s="82"/>
    </row>
    <row r="218">
      <c r="A218" s="95"/>
      <c r="B218" s="90" t="s">
        <v>375</v>
      </c>
      <c r="C218" s="91" t="s">
        <v>375</v>
      </c>
      <c r="D218" s="86" t="s">
        <v>106</v>
      </c>
      <c r="E218" s="93">
        <v>0.1</v>
      </c>
      <c r="F218" s="82"/>
      <c r="G218" s="82"/>
      <c r="H218" s="82"/>
      <c r="I218" s="82"/>
      <c r="J218" s="82"/>
      <c r="K218" s="82"/>
      <c r="L218" s="82"/>
      <c r="M218" s="82"/>
      <c r="N218" s="82"/>
      <c r="O218" s="82"/>
      <c r="P218" s="82"/>
      <c r="Q218" s="82"/>
      <c r="R218" s="82"/>
      <c r="S218" s="82"/>
      <c r="T218" s="82"/>
      <c r="U218" s="82"/>
      <c r="V218" s="82"/>
      <c r="W218" s="82"/>
      <c r="X218" s="82"/>
      <c r="Y218" s="82"/>
      <c r="Z218" s="82"/>
    </row>
    <row r="219">
      <c r="A219" s="89" t="s">
        <v>376</v>
      </c>
      <c r="B219" s="90" t="s">
        <v>377</v>
      </c>
      <c r="C219" s="91" t="s">
        <v>378</v>
      </c>
      <c r="D219" s="92" t="s">
        <v>235</v>
      </c>
      <c r="E219" s="93">
        <v>0.095</v>
      </c>
      <c r="F219" s="82"/>
      <c r="G219" s="82"/>
      <c r="H219" s="82"/>
      <c r="I219" s="82"/>
      <c r="J219" s="82"/>
      <c r="K219" s="82"/>
      <c r="L219" s="82"/>
      <c r="M219" s="82"/>
      <c r="N219" s="82"/>
      <c r="O219" s="82"/>
      <c r="P219" s="82"/>
      <c r="Q219" s="82"/>
      <c r="R219" s="82"/>
      <c r="S219" s="82"/>
      <c r="T219" s="82"/>
      <c r="U219" s="82"/>
      <c r="V219" s="82"/>
      <c r="W219" s="82"/>
      <c r="X219" s="82"/>
      <c r="Y219" s="82"/>
      <c r="Z219" s="82"/>
    </row>
    <row r="220">
      <c r="A220" s="94"/>
      <c r="B220" s="90" t="s">
        <v>379</v>
      </c>
      <c r="C220" s="91" t="s">
        <v>380</v>
      </c>
      <c r="D220" s="94"/>
      <c r="E220" s="93">
        <v>0.095</v>
      </c>
      <c r="F220" s="82"/>
      <c r="G220" s="82"/>
      <c r="H220" s="82"/>
      <c r="I220" s="82"/>
      <c r="J220" s="82"/>
      <c r="K220" s="82"/>
      <c r="L220" s="82"/>
      <c r="M220" s="82"/>
      <c r="N220" s="82"/>
      <c r="O220" s="82"/>
      <c r="P220" s="82"/>
      <c r="Q220" s="82"/>
      <c r="R220" s="82"/>
      <c r="S220" s="82"/>
      <c r="T220" s="82"/>
      <c r="U220" s="82"/>
      <c r="V220" s="82"/>
      <c r="W220" s="82"/>
      <c r="X220" s="82"/>
      <c r="Y220" s="82"/>
      <c r="Z220" s="82"/>
    </row>
    <row r="221">
      <c r="A221" s="94"/>
      <c r="B221" s="90" t="s">
        <v>381</v>
      </c>
      <c r="C221" s="91" t="s">
        <v>382</v>
      </c>
      <c r="D221" s="95"/>
      <c r="E221" s="93">
        <v>0.095</v>
      </c>
      <c r="F221" s="82"/>
      <c r="G221" s="82"/>
      <c r="H221" s="82"/>
      <c r="I221" s="82"/>
      <c r="J221" s="82"/>
      <c r="K221" s="82"/>
      <c r="L221" s="82"/>
      <c r="M221" s="82"/>
      <c r="N221" s="82"/>
      <c r="O221" s="82"/>
      <c r="P221" s="82"/>
      <c r="Q221" s="82"/>
      <c r="R221" s="82"/>
      <c r="S221" s="82"/>
      <c r="T221" s="82"/>
      <c r="U221" s="82"/>
      <c r="V221" s="82"/>
      <c r="W221" s="82"/>
      <c r="X221" s="82"/>
      <c r="Y221" s="82"/>
      <c r="Z221" s="82"/>
    </row>
    <row r="222">
      <c r="A222" s="94"/>
      <c r="B222" s="90" t="s">
        <v>383</v>
      </c>
      <c r="C222" s="91" t="s">
        <v>383</v>
      </c>
      <c r="D222" s="92" t="s">
        <v>261</v>
      </c>
      <c r="E222" s="93">
        <v>0.065</v>
      </c>
      <c r="F222" s="82"/>
      <c r="G222" s="82"/>
      <c r="H222" s="82"/>
      <c r="I222" s="82"/>
      <c r="J222" s="82"/>
      <c r="K222" s="82"/>
      <c r="L222" s="82"/>
      <c r="M222" s="82"/>
      <c r="N222" s="82"/>
      <c r="O222" s="82"/>
      <c r="P222" s="82"/>
      <c r="Q222" s="82"/>
      <c r="R222" s="82"/>
      <c r="S222" s="82"/>
      <c r="T222" s="82"/>
      <c r="U222" s="82"/>
      <c r="V222" s="82"/>
      <c r="W222" s="82"/>
      <c r="X222" s="82"/>
      <c r="Y222" s="82"/>
      <c r="Z222" s="82"/>
    </row>
    <row r="223">
      <c r="A223" s="94"/>
      <c r="B223" s="90" t="s">
        <v>377</v>
      </c>
      <c r="C223" s="91" t="s">
        <v>384</v>
      </c>
      <c r="D223" s="94"/>
      <c r="E223" s="93">
        <v>0.065</v>
      </c>
      <c r="F223" s="82"/>
      <c r="G223" s="82"/>
      <c r="H223" s="82"/>
      <c r="I223" s="82"/>
      <c r="J223" s="82"/>
      <c r="K223" s="82"/>
      <c r="L223" s="82"/>
      <c r="M223" s="82"/>
      <c r="N223" s="82"/>
      <c r="O223" s="82"/>
      <c r="P223" s="82"/>
      <c r="Q223" s="82"/>
      <c r="R223" s="82"/>
      <c r="S223" s="82"/>
      <c r="T223" s="82"/>
      <c r="U223" s="82"/>
      <c r="V223" s="82"/>
      <c r="W223" s="82"/>
      <c r="X223" s="82"/>
      <c r="Y223" s="82"/>
      <c r="Z223" s="82"/>
    </row>
    <row r="224">
      <c r="A224" s="94"/>
      <c r="B224" s="90" t="s">
        <v>385</v>
      </c>
      <c r="C224" s="91" t="s">
        <v>386</v>
      </c>
      <c r="D224" s="94"/>
      <c r="E224" s="93">
        <v>0.065</v>
      </c>
      <c r="F224" s="82"/>
      <c r="G224" s="82"/>
      <c r="H224" s="82"/>
      <c r="I224" s="82"/>
      <c r="J224" s="82"/>
      <c r="K224" s="82"/>
      <c r="L224" s="82"/>
      <c r="M224" s="82"/>
      <c r="N224" s="82"/>
      <c r="O224" s="82"/>
      <c r="P224" s="82"/>
      <c r="Q224" s="82"/>
      <c r="R224" s="82"/>
      <c r="S224" s="82"/>
      <c r="T224" s="82"/>
      <c r="U224" s="82"/>
      <c r="V224" s="82"/>
      <c r="W224" s="82"/>
      <c r="X224" s="82"/>
      <c r="Y224" s="82"/>
      <c r="Z224" s="82"/>
    </row>
    <row r="225">
      <c r="A225" s="94"/>
      <c r="B225" s="90" t="s">
        <v>387</v>
      </c>
      <c r="C225" s="91" t="s">
        <v>387</v>
      </c>
      <c r="D225" s="94"/>
      <c r="E225" s="93">
        <v>0.065</v>
      </c>
      <c r="F225" s="82"/>
      <c r="G225" s="82"/>
      <c r="H225" s="82"/>
      <c r="I225" s="82"/>
      <c r="J225" s="82"/>
      <c r="K225" s="82"/>
      <c r="L225" s="82"/>
      <c r="M225" s="82"/>
      <c r="N225" s="82"/>
      <c r="O225" s="82"/>
      <c r="P225" s="82"/>
      <c r="Q225" s="82"/>
      <c r="R225" s="82"/>
      <c r="S225" s="82"/>
      <c r="T225" s="82"/>
      <c r="U225" s="82"/>
      <c r="V225" s="82"/>
      <c r="W225" s="82"/>
      <c r="X225" s="82"/>
      <c r="Y225" s="82"/>
      <c r="Z225" s="82"/>
    </row>
    <row r="226">
      <c r="A226" s="94"/>
      <c r="B226" s="90" t="s">
        <v>388</v>
      </c>
      <c r="C226" s="91" t="s">
        <v>389</v>
      </c>
      <c r="D226" s="94"/>
      <c r="E226" s="93">
        <v>0.065</v>
      </c>
      <c r="F226" s="82"/>
      <c r="G226" s="82"/>
      <c r="H226" s="82"/>
      <c r="I226" s="82"/>
      <c r="J226" s="82"/>
      <c r="K226" s="82"/>
      <c r="L226" s="82"/>
      <c r="M226" s="82"/>
      <c r="N226" s="82"/>
      <c r="O226" s="82"/>
      <c r="P226" s="82"/>
      <c r="Q226" s="82"/>
      <c r="R226" s="82"/>
      <c r="S226" s="82"/>
      <c r="T226" s="82"/>
      <c r="U226" s="82"/>
      <c r="V226" s="82"/>
      <c r="W226" s="82"/>
      <c r="X226" s="82"/>
      <c r="Y226" s="82"/>
      <c r="Z226" s="82"/>
    </row>
    <row r="227">
      <c r="A227" s="94"/>
      <c r="B227" s="90" t="s">
        <v>390</v>
      </c>
      <c r="C227" s="91" t="s">
        <v>390</v>
      </c>
      <c r="D227" s="95"/>
      <c r="E227" s="93">
        <v>0.065</v>
      </c>
      <c r="F227" s="82"/>
      <c r="G227" s="82"/>
      <c r="H227" s="82"/>
      <c r="I227" s="82"/>
      <c r="J227" s="82"/>
      <c r="K227" s="82"/>
      <c r="L227" s="82"/>
      <c r="M227" s="82"/>
      <c r="N227" s="82"/>
      <c r="O227" s="82"/>
      <c r="P227" s="82"/>
      <c r="Q227" s="82"/>
      <c r="R227" s="82"/>
      <c r="S227" s="82"/>
      <c r="T227" s="82"/>
      <c r="U227" s="82"/>
      <c r="V227" s="82"/>
      <c r="W227" s="82"/>
      <c r="X227" s="82"/>
      <c r="Y227" s="82"/>
      <c r="Z227" s="82"/>
    </row>
    <row r="228">
      <c r="A228" s="95"/>
      <c r="B228" s="90" t="s">
        <v>391</v>
      </c>
      <c r="C228" s="91" t="s">
        <v>391</v>
      </c>
      <c r="D228" s="86" t="s">
        <v>235</v>
      </c>
      <c r="E228" s="93">
        <v>0.095</v>
      </c>
      <c r="F228" s="82"/>
      <c r="G228" s="82"/>
      <c r="H228" s="82"/>
      <c r="I228" s="82"/>
      <c r="J228" s="82"/>
      <c r="K228" s="82"/>
      <c r="L228" s="82"/>
      <c r="M228" s="82"/>
      <c r="N228" s="82"/>
      <c r="O228" s="82"/>
      <c r="P228" s="82"/>
      <c r="Q228" s="82"/>
      <c r="R228" s="82"/>
      <c r="S228" s="82"/>
      <c r="T228" s="82"/>
      <c r="U228" s="82"/>
      <c r="V228" s="82"/>
      <c r="W228" s="82"/>
      <c r="X228" s="82"/>
      <c r="Y228" s="82"/>
      <c r="Z228" s="82"/>
    </row>
    <row r="229">
      <c r="A229" s="89" t="s">
        <v>392</v>
      </c>
      <c r="B229" s="90" t="s">
        <v>393</v>
      </c>
      <c r="C229" s="91" t="s">
        <v>394</v>
      </c>
      <c r="D229" s="92" t="s">
        <v>259</v>
      </c>
      <c r="E229" s="93">
        <v>0.0675</v>
      </c>
      <c r="F229" s="82"/>
      <c r="G229" s="82"/>
      <c r="H229" s="82"/>
      <c r="I229" s="82"/>
      <c r="J229" s="82"/>
      <c r="K229" s="82"/>
      <c r="L229" s="82"/>
      <c r="M229" s="82"/>
      <c r="N229" s="82"/>
      <c r="O229" s="82"/>
      <c r="P229" s="82"/>
      <c r="Q229" s="82"/>
      <c r="R229" s="82"/>
      <c r="S229" s="82"/>
      <c r="T229" s="82"/>
      <c r="U229" s="82"/>
      <c r="V229" s="82"/>
      <c r="W229" s="82"/>
      <c r="X229" s="82"/>
      <c r="Y229" s="82"/>
      <c r="Z229" s="82"/>
    </row>
    <row r="230">
      <c r="A230" s="94"/>
      <c r="B230" s="90" t="s">
        <v>395</v>
      </c>
      <c r="C230" s="91" t="s">
        <v>396</v>
      </c>
      <c r="D230" s="94"/>
      <c r="E230" s="93">
        <v>0.0675</v>
      </c>
      <c r="F230" s="82"/>
      <c r="G230" s="82"/>
      <c r="H230" s="82"/>
      <c r="I230" s="82"/>
      <c r="J230" s="82"/>
      <c r="K230" s="82"/>
      <c r="L230" s="82"/>
      <c r="M230" s="82"/>
      <c r="N230" s="82"/>
      <c r="O230" s="82"/>
      <c r="P230" s="82"/>
      <c r="Q230" s="82"/>
      <c r="R230" s="82"/>
      <c r="S230" s="82"/>
      <c r="T230" s="82"/>
      <c r="U230" s="82"/>
      <c r="V230" s="82"/>
      <c r="W230" s="82"/>
      <c r="X230" s="82"/>
      <c r="Y230" s="82"/>
      <c r="Z230" s="82"/>
    </row>
    <row r="231">
      <c r="A231" s="94"/>
      <c r="B231" s="90" t="s">
        <v>397</v>
      </c>
      <c r="C231" s="91" t="s">
        <v>398</v>
      </c>
      <c r="D231" s="94"/>
      <c r="E231" s="93">
        <v>0.0675</v>
      </c>
      <c r="F231" s="82"/>
      <c r="G231" s="82"/>
      <c r="H231" s="82"/>
      <c r="I231" s="82"/>
      <c r="J231" s="82"/>
      <c r="K231" s="82"/>
      <c r="L231" s="82"/>
      <c r="M231" s="82"/>
      <c r="N231" s="82"/>
      <c r="O231" s="82"/>
      <c r="P231" s="82"/>
      <c r="Q231" s="82"/>
      <c r="R231" s="82"/>
      <c r="S231" s="82"/>
      <c r="T231" s="82"/>
      <c r="U231" s="82"/>
      <c r="V231" s="82"/>
      <c r="W231" s="82"/>
      <c r="X231" s="82"/>
      <c r="Y231" s="82"/>
      <c r="Z231" s="82"/>
    </row>
    <row r="232">
      <c r="A232" s="94"/>
      <c r="B232" s="90" t="s">
        <v>399</v>
      </c>
      <c r="C232" s="91" t="s">
        <v>399</v>
      </c>
      <c r="D232" s="95"/>
      <c r="E232" s="93">
        <v>0.0675</v>
      </c>
      <c r="F232" s="82"/>
      <c r="G232" s="82"/>
      <c r="H232" s="82"/>
      <c r="I232" s="82"/>
      <c r="J232" s="82"/>
      <c r="K232" s="82"/>
      <c r="L232" s="82"/>
      <c r="M232" s="82"/>
      <c r="N232" s="82"/>
      <c r="O232" s="82"/>
      <c r="P232" s="82"/>
      <c r="Q232" s="82"/>
      <c r="R232" s="82"/>
      <c r="S232" s="82"/>
      <c r="T232" s="82"/>
      <c r="U232" s="82"/>
      <c r="V232" s="82"/>
      <c r="W232" s="82"/>
      <c r="X232" s="82"/>
      <c r="Y232" s="82"/>
      <c r="Z232" s="82"/>
    </row>
    <row r="233">
      <c r="A233" s="94"/>
      <c r="B233" s="90" t="s">
        <v>400</v>
      </c>
      <c r="C233" s="91" t="s">
        <v>401</v>
      </c>
      <c r="D233" s="86" t="s">
        <v>261</v>
      </c>
      <c r="E233" s="93">
        <v>0.065</v>
      </c>
      <c r="F233" s="82"/>
      <c r="G233" s="82"/>
      <c r="H233" s="82"/>
      <c r="I233" s="82"/>
      <c r="J233" s="82"/>
      <c r="K233" s="82"/>
      <c r="L233" s="82"/>
      <c r="M233" s="82"/>
      <c r="N233" s="82"/>
      <c r="O233" s="82"/>
      <c r="P233" s="82"/>
      <c r="Q233" s="82"/>
      <c r="R233" s="82"/>
      <c r="S233" s="82"/>
      <c r="T233" s="82"/>
      <c r="U233" s="82"/>
      <c r="V233" s="82"/>
      <c r="W233" s="82"/>
      <c r="X233" s="82"/>
      <c r="Y233" s="82"/>
      <c r="Z233" s="82"/>
    </row>
    <row r="234">
      <c r="A234" s="94"/>
      <c r="B234" s="90" t="s">
        <v>6</v>
      </c>
      <c r="C234" s="91" t="s">
        <v>402</v>
      </c>
      <c r="D234" s="92" t="s">
        <v>354</v>
      </c>
      <c r="E234" s="93">
        <v>0.0525</v>
      </c>
      <c r="F234" s="82"/>
      <c r="G234" s="82"/>
      <c r="H234" s="82"/>
      <c r="I234" s="82"/>
      <c r="J234" s="82"/>
      <c r="K234" s="82"/>
      <c r="L234" s="82"/>
      <c r="M234" s="82"/>
      <c r="N234" s="82"/>
      <c r="O234" s="82"/>
      <c r="P234" s="82"/>
      <c r="Q234" s="82"/>
      <c r="R234" s="82"/>
      <c r="S234" s="82"/>
      <c r="T234" s="82"/>
      <c r="U234" s="82"/>
      <c r="V234" s="82"/>
      <c r="W234" s="82"/>
      <c r="X234" s="82"/>
      <c r="Y234" s="82"/>
      <c r="Z234" s="82"/>
    </row>
    <row r="235">
      <c r="A235" s="94"/>
      <c r="B235" s="90" t="s">
        <v>400</v>
      </c>
      <c r="C235" s="91" t="s">
        <v>403</v>
      </c>
      <c r="D235" s="94"/>
      <c r="E235" s="93">
        <v>0.0525</v>
      </c>
      <c r="F235" s="82"/>
      <c r="G235" s="82"/>
      <c r="H235" s="82"/>
      <c r="I235" s="82"/>
      <c r="J235" s="82"/>
      <c r="K235" s="82"/>
      <c r="L235" s="82"/>
      <c r="M235" s="82"/>
      <c r="N235" s="82"/>
      <c r="O235" s="82"/>
      <c r="P235" s="82"/>
      <c r="Q235" s="82"/>
      <c r="R235" s="82"/>
      <c r="S235" s="82"/>
      <c r="T235" s="82"/>
      <c r="U235" s="82"/>
      <c r="V235" s="82"/>
      <c r="W235" s="82"/>
      <c r="X235" s="82"/>
      <c r="Y235" s="82"/>
      <c r="Z235" s="82"/>
    </row>
    <row r="236">
      <c r="A236" s="94"/>
      <c r="B236" s="90" t="s">
        <v>404</v>
      </c>
      <c r="C236" s="91" t="s">
        <v>404</v>
      </c>
      <c r="D236" s="94"/>
      <c r="E236" s="93">
        <v>0.0525</v>
      </c>
      <c r="F236" s="82"/>
      <c r="G236" s="82"/>
      <c r="H236" s="82"/>
      <c r="I236" s="82"/>
      <c r="J236" s="82"/>
      <c r="K236" s="82"/>
      <c r="L236" s="82"/>
      <c r="M236" s="82"/>
      <c r="N236" s="82"/>
      <c r="O236" s="82"/>
      <c r="P236" s="82"/>
      <c r="Q236" s="82"/>
      <c r="R236" s="82"/>
      <c r="S236" s="82"/>
      <c r="T236" s="82"/>
      <c r="U236" s="82"/>
      <c r="V236" s="82"/>
      <c r="W236" s="82"/>
      <c r="X236" s="82"/>
      <c r="Y236" s="82"/>
      <c r="Z236" s="82"/>
    </row>
    <row r="237">
      <c r="A237" s="94"/>
      <c r="B237" s="90" t="s">
        <v>405</v>
      </c>
      <c r="C237" s="91" t="s">
        <v>405</v>
      </c>
      <c r="D237" s="94"/>
      <c r="E237" s="93">
        <v>0.0525</v>
      </c>
      <c r="F237" s="82"/>
      <c r="G237" s="82"/>
      <c r="H237" s="82"/>
      <c r="I237" s="82"/>
      <c r="J237" s="82"/>
      <c r="K237" s="82"/>
      <c r="L237" s="82"/>
      <c r="M237" s="82"/>
      <c r="N237" s="82"/>
      <c r="O237" s="82"/>
      <c r="P237" s="82"/>
      <c r="Q237" s="82"/>
      <c r="R237" s="82"/>
      <c r="S237" s="82"/>
      <c r="T237" s="82"/>
      <c r="U237" s="82"/>
      <c r="V237" s="82"/>
      <c r="W237" s="82"/>
      <c r="X237" s="82"/>
      <c r="Y237" s="82"/>
      <c r="Z237" s="82"/>
    </row>
    <row r="238">
      <c r="A238" s="94"/>
      <c r="B238" s="90" t="s">
        <v>406</v>
      </c>
      <c r="C238" s="91" t="s">
        <v>407</v>
      </c>
      <c r="D238" s="94"/>
      <c r="E238" s="93">
        <v>0.0525</v>
      </c>
      <c r="F238" s="82"/>
      <c r="G238" s="82"/>
      <c r="H238" s="82"/>
      <c r="I238" s="82"/>
      <c r="J238" s="82"/>
      <c r="K238" s="82"/>
      <c r="L238" s="82"/>
      <c r="M238" s="82"/>
      <c r="N238" s="82"/>
      <c r="O238" s="82"/>
      <c r="P238" s="82"/>
      <c r="Q238" s="82"/>
      <c r="R238" s="82"/>
      <c r="S238" s="82"/>
      <c r="T238" s="82"/>
      <c r="U238" s="82"/>
      <c r="V238" s="82"/>
      <c r="W238" s="82"/>
      <c r="X238" s="82"/>
      <c r="Y238" s="82"/>
      <c r="Z238" s="82"/>
    </row>
    <row r="239">
      <c r="A239" s="94"/>
      <c r="B239" s="90" t="s">
        <v>408</v>
      </c>
      <c r="C239" s="91" t="s">
        <v>409</v>
      </c>
      <c r="D239" s="94"/>
      <c r="E239" s="93">
        <v>0.0525</v>
      </c>
      <c r="F239" s="82"/>
      <c r="G239" s="82"/>
      <c r="H239" s="82"/>
      <c r="I239" s="82"/>
      <c r="J239" s="82"/>
      <c r="K239" s="82"/>
      <c r="L239" s="82"/>
      <c r="M239" s="82"/>
      <c r="N239" s="82"/>
      <c r="O239" s="82"/>
      <c r="P239" s="82"/>
      <c r="Q239" s="82"/>
      <c r="R239" s="82"/>
      <c r="S239" s="82"/>
      <c r="T239" s="82"/>
      <c r="U239" s="82"/>
      <c r="V239" s="82"/>
      <c r="W239" s="82"/>
      <c r="X239" s="82"/>
      <c r="Y239" s="82"/>
      <c r="Z239" s="82"/>
    </row>
    <row r="240">
      <c r="A240" s="94"/>
      <c r="B240" s="90" t="s">
        <v>410</v>
      </c>
      <c r="C240" s="91" t="s">
        <v>411</v>
      </c>
      <c r="D240" s="95"/>
      <c r="E240" s="93">
        <v>0.0525</v>
      </c>
      <c r="F240" s="82"/>
      <c r="G240" s="82"/>
      <c r="H240" s="82"/>
      <c r="I240" s="82"/>
      <c r="J240" s="82"/>
      <c r="K240" s="82"/>
      <c r="L240" s="82"/>
      <c r="M240" s="82"/>
      <c r="N240" s="82"/>
      <c r="O240" s="82"/>
      <c r="P240" s="82"/>
      <c r="Q240" s="82"/>
      <c r="R240" s="82"/>
      <c r="S240" s="82"/>
      <c r="T240" s="82"/>
      <c r="U240" s="82"/>
      <c r="V240" s="82"/>
      <c r="W240" s="82"/>
      <c r="X240" s="82"/>
      <c r="Y240" s="82"/>
      <c r="Z240" s="82"/>
    </row>
    <row r="241">
      <c r="A241" s="95"/>
      <c r="B241" s="90" t="s">
        <v>412</v>
      </c>
      <c r="C241" s="91" t="s">
        <v>412</v>
      </c>
      <c r="D241" s="86" t="s">
        <v>259</v>
      </c>
      <c r="E241" s="93">
        <v>0.0675</v>
      </c>
      <c r="F241" s="82"/>
      <c r="G241" s="82"/>
      <c r="H241" s="82"/>
      <c r="I241" s="82"/>
      <c r="J241" s="82"/>
      <c r="K241" s="82"/>
      <c r="L241" s="82"/>
      <c r="M241" s="82"/>
      <c r="N241" s="82"/>
      <c r="O241" s="82"/>
      <c r="P241" s="82"/>
      <c r="Q241" s="82"/>
      <c r="R241" s="82"/>
      <c r="S241" s="82"/>
      <c r="T241" s="82"/>
      <c r="U241" s="82"/>
      <c r="V241" s="82"/>
      <c r="W241" s="82"/>
      <c r="X241" s="82"/>
      <c r="Y241" s="82"/>
      <c r="Z241" s="82"/>
    </row>
    <row r="242">
      <c r="A242" s="81" t="s">
        <v>227</v>
      </c>
      <c r="B242" s="82"/>
      <c r="C242" s="83"/>
      <c r="D242" s="82"/>
      <c r="E242" s="84"/>
      <c r="F242" s="82"/>
      <c r="G242" s="82"/>
      <c r="H242" s="82"/>
      <c r="I242" s="82"/>
      <c r="J242" s="82"/>
      <c r="K242" s="82"/>
      <c r="L242" s="82"/>
      <c r="M242" s="82"/>
      <c r="N242" s="82"/>
      <c r="O242" s="82"/>
      <c r="P242" s="82"/>
      <c r="Q242" s="82"/>
      <c r="R242" s="82"/>
      <c r="S242" s="82"/>
      <c r="T242" s="82"/>
      <c r="U242" s="82"/>
      <c r="V242" s="82"/>
      <c r="W242" s="82"/>
      <c r="X242" s="82"/>
      <c r="Y242" s="82"/>
      <c r="Z242" s="82"/>
    </row>
    <row r="243">
      <c r="A243" s="85"/>
      <c r="B243" s="82"/>
      <c r="C243" s="83"/>
      <c r="D243" s="82"/>
      <c r="E243" s="84"/>
      <c r="F243" s="82"/>
      <c r="G243" s="82"/>
      <c r="H243" s="82"/>
      <c r="I243" s="82"/>
      <c r="J243" s="82"/>
      <c r="K243" s="82"/>
      <c r="L243" s="82"/>
      <c r="M243" s="82"/>
      <c r="N243" s="82"/>
      <c r="O243" s="82"/>
      <c r="P243" s="82"/>
      <c r="Q243" s="82"/>
      <c r="R243" s="82"/>
      <c r="S243" s="82"/>
      <c r="T243" s="82"/>
      <c r="U243" s="82"/>
      <c r="V243" s="82"/>
      <c r="W243" s="82"/>
      <c r="X243" s="82"/>
      <c r="Y243" s="82"/>
      <c r="Z243" s="82"/>
    </row>
    <row r="244">
      <c r="A244" s="81" t="s">
        <v>413</v>
      </c>
      <c r="B244" s="82"/>
      <c r="C244" s="83"/>
      <c r="D244" s="82"/>
      <c r="E244" s="84"/>
      <c r="F244" s="82"/>
      <c r="G244" s="82"/>
      <c r="H244" s="82"/>
      <c r="I244" s="82"/>
      <c r="J244" s="82"/>
      <c r="K244" s="82"/>
      <c r="L244" s="82"/>
      <c r="M244" s="82"/>
      <c r="N244" s="82"/>
      <c r="O244" s="82"/>
      <c r="P244" s="82"/>
      <c r="Q244" s="82"/>
      <c r="R244" s="82"/>
      <c r="S244" s="82"/>
      <c r="T244" s="82"/>
      <c r="U244" s="82"/>
      <c r="V244" s="82"/>
      <c r="W244" s="82"/>
      <c r="X244" s="82"/>
      <c r="Y244" s="82"/>
      <c r="Z244" s="82"/>
    </row>
    <row r="245">
      <c r="A245" s="85"/>
      <c r="B245" s="82"/>
      <c r="C245" s="83"/>
      <c r="D245" s="82"/>
      <c r="E245" s="84"/>
      <c r="F245" s="82"/>
      <c r="G245" s="82"/>
      <c r="H245" s="82"/>
      <c r="I245" s="82"/>
      <c r="J245" s="82"/>
      <c r="K245" s="82"/>
      <c r="L245" s="82"/>
      <c r="M245" s="82"/>
      <c r="N245" s="82"/>
      <c r="O245" s="82"/>
      <c r="P245" s="82"/>
      <c r="Q245" s="82"/>
      <c r="R245" s="82"/>
      <c r="S245" s="82"/>
      <c r="T245" s="82"/>
      <c r="U245" s="82"/>
      <c r="V245" s="82"/>
      <c r="W245" s="82"/>
      <c r="X245" s="82"/>
      <c r="Y245" s="82"/>
      <c r="Z245" s="82"/>
    </row>
    <row r="246">
      <c r="A246" s="86" t="s">
        <v>59</v>
      </c>
      <c r="B246" s="87" t="s">
        <v>229</v>
      </c>
      <c r="C246" s="88" t="s">
        <v>230</v>
      </c>
      <c r="D246" s="87" t="s">
        <v>60</v>
      </c>
      <c r="E246" s="84"/>
      <c r="F246" s="82"/>
      <c r="G246" s="82"/>
      <c r="H246" s="82"/>
      <c r="I246" s="82"/>
      <c r="J246" s="82"/>
      <c r="K246" s="82"/>
      <c r="L246" s="82"/>
      <c r="M246" s="82"/>
      <c r="N246" s="82"/>
      <c r="O246" s="82"/>
      <c r="P246" s="82"/>
      <c r="Q246" s="82"/>
      <c r="R246" s="82"/>
      <c r="S246" s="82"/>
      <c r="T246" s="82"/>
      <c r="U246" s="82"/>
      <c r="V246" s="82"/>
      <c r="W246" s="82"/>
      <c r="X246" s="82"/>
      <c r="Y246" s="82"/>
      <c r="Z246" s="82"/>
    </row>
    <row r="247">
      <c r="A247" s="89" t="s">
        <v>414</v>
      </c>
      <c r="B247" s="90" t="s">
        <v>415</v>
      </c>
      <c r="C247" s="91" t="s">
        <v>416</v>
      </c>
      <c r="D247" s="86" t="s">
        <v>106</v>
      </c>
      <c r="E247" s="93">
        <v>0.1</v>
      </c>
      <c r="F247" s="82"/>
      <c r="G247" s="82"/>
      <c r="H247" s="82"/>
      <c r="I247" s="82"/>
      <c r="J247" s="82"/>
      <c r="K247" s="82"/>
      <c r="L247" s="82"/>
      <c r="M247" s="82"/>
      <c r="N247" s="82"/>
      <c r="O247" s="82"/>
      <c r="P247" s="82"/>
      <c r="Q247" s="82"/>
      <c r="R247" s="82"/>
      <c r="S247" s="82"/>
      <c r="T247" s="82"/>
      <c r="U247" s="82"/>
      <c r="V247" s="82"/>
      <c r="W247" s="82"/>
      <c r="X247" s="82"/>
      <c r="Y247" s="82"/>
      <c r="Z247" s="82"/>
    </row>
    <row r="248">
      <c r="A248" s="94"/>
      <c r="B248" s="90" t="s">
        <v>417</v>
      </c>
      <c r="C248" s="91" t="s">
        <v>418</v>
      </c>
      <c r="D248" s="92" t="s">
        <v>235</v>
      </c>
      <c r="E248" s="93">
        <v>0.095</v>
      </c>
      <c r="F248" s="82"/>
      <c r="G248" s="82"/>
      <c r="H248" s="82"/>
      <c r="I248" s="82"/>
      <c r="J248" s="82"/>
      <c r="K248" s="82"/>
      <c r="L248" s="82"/>
      <c r="M248" s="82"/>
      <c r="N248" s="82"/>
      <c r="O248" s="82"/>
      <c r="P248" s="82"/>
      <c r="Q248" s="82"/>
      <c r="R248" s="82"/>
      <c r="S248" s="82"/>
      <c r="T248" s="82"/>
      <c r="U248" s="82"/>
      <c r="V248" s="82"/>
      <c r="W248" s="82"/>
      <c r="X248" s="82"/>
      <c r="Y248" s="82"/>
      <c r="Z248" s="82"/>
    </row>
    <row r="249">
      <c r="A249" s="94"/>
      <c r="B249" s="90" t="s">
        <v>419</v>
      </c>
      <c r="C249" s="91" t="s">
        <v>420</v>
      </c>
      <c r="D249" s="95"/>
      <c r="E249" s="93">
        <v>0.095</v>
      </c>
      <c r="F249" s="82"/>
      <c r="G249" s="82"/>
      <c r="H249" s="82"/>
      <c r="I249" s="82"/>
      <c r="J249" s="82"/>
      <c r="K249" s="82"/>
      <c r="L249" s="82"/>
      <c r="M249" s="82"/>
      <c r="N249" s="82"/>
      <c r="O249" s="82"/>
      <c r="P249" s="82"/>
      <c r="Q249" s="82"/>
      <c r="R249" s="82"/>
      <c r="S249" s="82"/>
      <c r="T249" s="82"/>
      <c r="U249" s="82"/>
      <c r="V249" s="82"/>
      <c r="W249" s="82"/>
      <c r="X249" s="82"/>
      <c r="Y249" s="82"/>
      <c r="Z249" s="82"/>
    </row>
    <row r="250">
      <c r="A250" s="94"/>
      <c r="B250" s="90" t="s">
        <v>421</v>
      </c>
      <c r="C250" s="91" t="s">
        <v>422</v>
      </c>
      <c r="D250" s="92" t="s">
        <v>64</v>
      </c>
      <c r="E250" s="93">
        <v>0.09</v>
      </c>
      <c r="F250" s="82"/>
      <c r="G250" s="82"/>
      <c r="H250" s="82"/>
      <c r="I250" s="82"/>
      <c r="J250" s="82"/>
      <c r="K250" s="82"/>
      <c r="L250" s="82"/>
      <c r="M250" s="82"/>
      <c r="N250" s="82"/>
      <c r="O250" s="82"/>
      <c r="P250" s="82"/>
      <c r="Q250" s="82"/>
      <c r="R250" s="82"/>
      <c r="S250" s="82"/>
      <c r="T250" s="82"/>
      <c r="U250" s="82"/>
      <c r="V250" s="82"/>
      <c r="W250" s="82"/>
      <c r="X250" s="82"/>
      <c r="Y250" s="82"/>
      <c r="Z250" s="82"/>
    </row>
    <row r="251">
      <c r="A251" s="94"/>
      <c r="B251" s="90" t="s">
        <v>423</v>
      </c>
      <c r="C251" s="91" t="s">
        <v>424</v>
      </c>
      <c r="D251" s="94"/>
      <c r="E251" s="93">
        <v>0.09</v>
      </c>
      <c r="F251" s="82"/>
      <c r="G251" s="82"/>
      <c r="H251" s="82"/>
      <c r="I251" s="82"/>
      <c r="J251" s="82"/>
      <c r="K251" s="82"/>
      <c r="L251" s="82"/>
      <c r="M251" s="82"/>
      <c r="N251" s="82"/>
      <c r="O251" s="82"/>
      <c r="P251" s="82"/>
      <c r="Q251" s="82"/>
      <c r="R251" s="82"/>
      <c r="S251" s="82"/>
      <c r="T251" s="82"/>
      <c r="U251" s="82"/>
      <c r="V251" s="82"/>
      <c r="W251" s="82"/>
      <c r="X251" s="82"/>
      <c r="Y251" s="82"/>
      <c r="Z251" s="82"/>
    </row>
    <row r="252">
      <c r="A252" s="94"/>
      <c r="B252" s="90" t="s">
        <v>417</v>
      </c>
      <c r="C252" s="91" t="s">
        <v>425</v>
      </c>
      <c r="D252" s="94"/>
      <c r="E252" s="93">
        <v>0.09</v>
      </c>
      <c r="F252" s="82"/>
      <c r="G252" s="82"/>
      <c r="H252" s="82"/>
      <c r="I252" s="82"/>
      <c r="J252" s="82"/>
      <c r="K252" s="82"/>
      <c r="L252" s="82"/>
      <c r="M252" s="82"/>
      <c r="N252" s="82"/>
      <c r="O252" s="82"/>
      <c r="P252" s="82"/>
      <c r="Q252" s="82"/>
      <c r="R252" s="82"/>
      <c r="S252" s="82"/>
      <c r="T252" s="82"/>
      <c r="U252" s="82"/>
      <c r="V252" s="82"/>
      <c r="W252" s="82"/>
      <c r="X252" s="82"/>
      <c r="Y252" s="82"/>
      <c r="Z252" s="82"/>
    </row>
    <row r="253">
      <c r="A253" s="94"/>
      <c r="B253" s="90" t="s">
        <v>419</v>
      </c>
      <c r="C253" s="91" t="s">
        <v>426</v>
      </c>
      <c r="D253" s="94"/>
      <c r="E253" s="93">
        <v>0.09</v>
      </c>
      <c r="F253" s="82"/>
      <c r="G253" s="82"/>
      <c r="H253" s="82"/>
      <c r="I253" s="82"/>
      <c r="J253" s="82"/>
      <c r="K253" s="82"/>
      <c r="L253" s="82"/>
      <c r="M253" s="82"/>
      <c r="N253" s="82"/>
      <c r="O253" s="82"/>
      <c r="P253" s="82"/>
      <c r="Q253" s="82"/>
      <c r="R253" s="82"/>
      <c r="S253" s="82"/>
      <c r="T253" s="82"/>
      <c r="U253" s="82"/>
      <c r="V253" s="82"/>
      <c r="W253" s="82"/>
      <c r="X253" s="82"/>
      <c r="Y253" s="82"/>
      <c r="Z253" s="82"/>
    </row>
    <row r="254">
      <c r="A254" s="94"/>
      <c r="B254" s="90" t="s">
        <v>427</v>
      </c>
      <c r="C254" s="91" t="s">
        <v>428</v>
      </c>
      <c r="D254" s="95"/>
      <c r="E254" s="93">
        <v>0.09</v>
      </c>
      <c r="F254" s="82"/>
      <c r="G254" s="82"/>
      <c r="H254" s="82"/>
      <c r="I254" s="82"/>
      <c r="J254" s="82"/>
      <c r="K254" s="82"/>
      <c r="L254" s="82"/>
      <c r="M254" s="82"/>
      <c r="N254" s="82"/>
      <c r="O254" s="82"/>
      <c r="P254" s="82"/>
      <c r="Q254" s="82"/>
      <c r="R254" s="82"/>
      <c r="S254" s="82"/>
      <c r="T254" s="82"/>
      <c r="U254" s="82"/>
      <c r="V254" s="82"/>
      <c r="W254" s="82"/>
      <c r="X254" s="82"/>
      <c r="Y254" s="82"/>
      <c r="Z254" s="82"/>
    </row>
    <row r="255">
      <c r="A255" s="95"/>
      <c r="B255" s="90" t="s">
        <v>429</v>
      </c>
      <c r="C255" s="91" t="s">
        <v>429</v>
      </c>
      <c r="D255" s="86" t="s">
        <v>106</v>
      </c>
      <c r="E255" s="93">
        <v>0.1</v>
      </c>
      <c r="F255" s="82"/>
      <c r="G255" s="82"/>
      <c r="H255" s="82"/>
      <c r="I255" s="82"/>
      <c r="J255" s="82"/>
      <c r="K255" s="82"/>
      <c r="L255" s="82"/>
      <c r="M255" s="82"/>
      <c r="N255" s="82"/>
      <c r="O255" s="82"/>
      <c r="P255" s="82"/>
      <c r="Q255" s="82"/>
      <c r="R255" s="82"/>
      <c r="S255" s="82"/>
      <c r="T255" s="82"/>
      <c r="U255" s="82"/>
      <c r="V255" s="82"/>
      <c r="W255" s="82"/>
      <c r="X255" s="82"/>
      <c r="Y255" s="82"/>
      <c r="Z255" s="82"/>
    </row>
    <row r="256">
      <c r="A256" s="89" t="s">
        <v>430</v>
      </c>
      <c r="B256" s="90" t="s">
        <v>431</v>
      </c>
      <c r="C256" s="91" t="s">
        <v>432</v>
      </c>
      <c r="D256" s="86" t="s">
        <v>106</v>
      </c>
      <c r="E256" s="93">
        <v>0.1</v>
      </c>
      <c r="F256" s="82"/>
      <c r="G256" s="82"/>
      <c r="H256" s="82"/>
      <c r="I256" s="82"/>
      <c r="J256" s="82"/>
      <c r="K256" s="82"/>
      <c r="L256" s="82"/>
      <c r="M256" s="82"/>
      <c r="N256" s="82"/>
      <c r="O256" s="82"/>
      <c r="P256" s="82"/>
      <c r="Q256" s="82"/>
      <c r="R256" s="82"/>
      <c r="S256" s="82"/>
      <c r="T256" s="82"/>
      <c r="U256" s="82"/>
      <c r="V256" s="82"/>
      <c r="W256" s="82"/>
      <c r="X256" s="82"/>
      <c r="Y256" s="82"/>
      <c r="Z256" s="82"/>
    </row>
    <row r="257">
      <c r="A257" s="94"/>
      <c r="B257" s="90" t="s">
        <v>433</v>
      </c>
      <c r="C257" s="91" t="s">
        <v>434</v>
      </c>
      <c r="D257" s="86" t="s">
        <v>235</v>
      </c>
      <c r="E257" s="93">
        <v>0.095</v>
      </c>
      <c r="F257" s="82"/>
      <c r="G257" s="82"/>
      <c r="H257" s="82"/>
      <c r="I257" s="82"/>
      <c r="J257" s="82"/>
      <c r="K257" s="82"/>
      <c r="L257" s="82"/>
      <c r="M257" s="82"/>
      <c r="N257" s="82"/>
      <c r="O257" s="82"/>
      <c r="P257" s="82"/>
      <c r="Q257" s="82"/>
      <c r="R257" s="82"/>
      <c r="S257" s="82"/>
      <c r="T257" s="82"/>
      <c r="U257" s="82"/>
      <c r="V257" s="82"/>
      <c r="W257" s="82"/>
      <c r="X257" s="82"/>
      <c r="Y257" s="82"/>
      <c r="Z257" s="82"/>
    </row>
    <row r="258">
      <c r="A258" s="94"/>
      <c r="B258" s="90" t="s">
        <v>433</v>
      </c>
      <c r="C258" s="91" t="s">
        <v>435</v>
      </c>
      <c r="D258" s="92" t="s">
        <v>64</v>
      </c>
      <c r="E258" s="93">
        <v>0.09</v>
      </c>
      <c r="F258" s="82"/>
      <c r="G258" s="82"/>
      <c r="H258" s="82"/>
      <c r="I258" s="82"/>
      <c r="J258" s="82"/>
      <c r="K258" s="82"/>
      <c r="L258" s="82"/>
      <c r="M258" s="82"/>
      <c r="N258" s="82"/>
      <c r="O258" s="82"/>
      <c r="P258" s="82"/>
      <c r="Q258" s="82"/>
      <c r="R258" s="82"/>
      <c r="S258" s="82"/>
      <c r="T258" s="82"/>
      <c r="U258" s="82"/>
      <c r="V258" s="82"/>
      <c r="W258" s="82"/>
      <c r="X258" s="82"/>
      <c r="Y258" s="82"/>
      <c r="Z258" s="82"/>
    </row>
    <row r="259">
      <c r="A259" s="94"/>
      <c r="B259" s="90" t="s">
        <v>436</v>
      </c>
      <c r="C259" s="91" t="s">
        <v>436</v>
      </c>
      <c r="D259" s="95"/>
      <c r="E259" s="93">
        <v>0.09</v>
      </c>
      <c r="F259" s="82"/>
      <c r="G259" s="82"/>
      <c r="H259" s="82"/>
      <c r="I259" s="82"/>
      <c r="J259" s="82"/>
      <c r="K259" s="82"/>
      <c r="L259" s="82"/>
      <c r="M259" s="82"/>
      <c r="N259" s="82"/>
      <c r="O259" s="82"/>
      <c r="P259" s="82"/>
      <c r="Q259" s="82"/>
      <c r="R259" s="82"/>
      <c r="S259" s="82"/>
      <c r="T259" s="82"/>
      <c r="U259" s="82"/>
      <c r="V259" s="82"/>
      <c r="W259" s="82"/>
      <c r="X259" s="82"/>
      <c r="Y259" s="82"/>
      <c r="Z259" s="82"/>
    </row>
    <row r="260">
      <c r="A260" s="94"/>
      <c r="B260" s="90" t="s">
        <v>433</v>
      </c>
      <c r="C260" s="91" t="s">
        <v>437</v>
      </c>
      <c r="D260" s="86" t="s">
        <v>81</v>
      </c>
      <c r="E260" s="93">
        <v>0.0825</v>
      </c>
      <c r="F260" s="82"/>
      <c r="G260" s="82"/>
      <c r="H260" s="82"/>
      <c r="I260" s="82"/>
      <c r="J260" s="82"/>
      <c r="K260" s="82"/>
      <c r="L260" s="82"/>
      <c r="M260" s="82"/>
      <c r="N260" s="82"/>
      <c r="O260" s="82"/>
      <c r="P260" s="82"/>
      <c r="Q260" s="82"/>
      <c r="R260" s="82"/>
      <c r="S260" s="82"/>
      <c r="T260" s="82"/>
      <c r="U260" s="82"/>
      <c r="V260" s="82"/>
      <c r="W260" s="82"/>
      <c r="X260" s="82"/>
      <c r="Y260" s="82"/>
      <c r="Z260" s="82"/>
    </row>
    <row r="261">
      <c r="A261" s="95"/>
      <c r="B261" s="90" t="s">
        <v>438</v>
      </c>
      <c r="C261" s="91" t="s">
        <v>438</v>
      </c>
      <c r="D261" s="86" t="s">
        <v>235</v>
      </c>
      <c r="E261" s="93">
        <v>0.095</v>
      </c>
      <c r="F261" s="82"/>
      <c r="G261" s="82"/>
      <c r="H261" s="82"/>
      <c r="I261" s="82"/>
      <c r="J261" s="82"/>
      <c r="K261" s="82"/>
      <c r="L261" s="82"/>
      <c r="M261" s="82"/>
      <c r="N261" s="82"/>
      <c r="O261" s="82"/>
      <c r="P261" s="82"/>
      <c r="Q261" s="82"/>
      <c r="R261" s="82"/>
      <c r="S261" s="82"/>
      <c r="T261" s="82"/>
      <c r="U261" s="82"/>
      <c r="V261" s="82"/>
      <c r="W261" s="82"/>
      <c r="X261" s="82"/>
      <c r="Y261" s="82"/>
      <c r="Z261" s="82"/>
    </row>
    <row r="262">
      <c r="A262" s="89" t="s">
        <v>439</v>
      </c>
      <c r="B262" s="90" t="s">
        <v>440</v>
      </c>
      <c r="C262" s="91" t="s">
        <v>441</v>
      </c>
      <c r="D262" s="92" t="s">
        <v>235</v>
      </c>
      <c r="E262" s="93">
        <v>0.095</v>
      </c>
      <c r="F262" s="82"/>
      <c r="G262" s="82"/>
      <c r="H262" s="82"/>
      <c r="I262" s="82"/>
      <c r="J262" s="82"/>
      <c r="K262" s="82"/>
      <c r="L262" s="82"/>
      <c r="M262" s="82"/>
      <c r="N262" s="82"/>
      <c r="O262" s="82"/>
      <c r="P262" s="82"/>
      <c r="Q262" s="82"/>
      <c r="R262" s="82"/>
      <c r="S262" s="82"/>
      <c r="T262" s="82"/>
      <c r="U262" s="82"/>
      <c r="V262" s="82"/>
      <c r="W262" s="82"/>
      <c r="X262" s="82"/>
      <c r="Y262" s="82"/>
      <c r="Z262" s="82"/>
    </row>
    <row r="263">
      <c r="A263" s="94"/>
      <c r="B263" s="90" t="s">
        <v>442</v>
      </c>
      <c r="C263" s="91" t="s">
        <v>443</v>
      </c>
      <c r="D263" s="94"/>
      <c r="E263" s="93">
        <v>0.095</v>
      </c>
      <c r="F263" s="82"/>
      <c r="G263" s="82"/>
      <c r="H263" s="82"/>
      <c r="I263" s="82"/>
      <c r="J263" s="82"/>
      <c r="K263" s="82"/>
      <c r="L263" s="82"/>
      <c r="M263" s="82"/>
      <c r="N263" s="82"/>
      <c r="O263" s="82"/>
      <c r="P263" s="82"/>
      <c r="Q263" s="82"/>
      <c r="R263" s="82"/>
      <c r="S263" s="82"/>
      <c r="T263" s="82"/>
      <c r="U263" s="82"/>
      <c r="V263" s="82"/>
      <c r="W263" s="82"/>
      <c r="X263" s="82"/>
      <c r="Y263" s="82"/>
      <c r="Z263" s="82"/>
    </row>
    <row r="264">
      <c r="A264" s="94"/>
      <c r="B264" s="90" t="s">
        <v>444</v>
      </c>
      <c r="C264" s="91" t="s">
        <v>445</v>
      </c>
      <c r="D264" s="94"/>
      <c r="E264" s="93">
        <v>0.095</v>
      </c>
      <c r="F264" s="82"/>
      <c r="G264" s="82"/>
      <c r="H264" s="82"/>
      <c r="I264" s="82"/>
      <c r="J264" s="82"/>
      <c r="K264" s="82"/>
      <c r="L264" s="82"/>
      <c r="M264" s="82"/>
      <c r="N264" s="82"/>
      <c r="O264" s="82"/>
      <c r="P264" s="82"/>
      <c r="Q264" s="82"/>
      <c r="R264" s="82"/>
      <c r="S264" s="82"/>
      <c r="T264" s="82"/>
      <c r="U264" s="82"/>
      <c r="V264" s="82"/>
      <c r="W264" s="82"/>
      <c r="X264" s="82"/>
      <c r="Y264" s="82"/>
      <c r="Z264" s="82"/>
    </row>
    <row r="265">
      <c r="A265" s="94"/>
      <c r="B265" s="90" t="s">
        <v>446</v>
      </c>
      <c r="C265" s="91" t="s">
        <v>447</v>
      </c>
      <c r="D265" s="94"/>
      <c r="E265" s="93">
        <v>0.095</v>
      </c>
      <c r="F265" s="82"/>
      <c r="G265" s="82"/>
      <c r="H265" s="82"/>
      <c r="I265" s="82"/>
      <c r="J265" s="82"/>
      <c r="K265" s="82"/>
      <c r="L265" s="82"/>
      <c r="M265" s="82"/>
      <c r="N265" s="82"/>
      <c r="O265" s="82"/>
      <c r="P265" s="82"/>
      <c r="Q265" s="82"/>
      <c r="R265" s="82"/>
      <c r="S265" s="82"/>
      <c r="T265" s="82"/>
      <c r="U265" s="82"/>
      <c r="V265" s="82"/>
      <c r="W265" s="82"/>
      <c r="X265" s="82"/>
      <c r="Y265" s="82"/>
      <c r="Z265" s="82"/>
    </row>
    <row r="266">
      <c r="A266" s="94"/>
      <c r="B266" s="90" t="s">
        <v>448</v>
      </c>
      <c r="C266" s="91" t="s">
        <v>449</v>
      </c>
      <c r="D266" s="94"/>
      <c r="E266" s="93">
        <v>0.095</v>
      </c>
      <c r="F266" s="82"/>
      <c r="G266" s="82"/>
      <c r="H266" s="82"/>
      <c r="I266" s="82"/>
      <c r="J266" s="82"/>
      <c r="K266" s="82"/>
      <c r="L266" s="82"/>
      <c r="M266" s="82"/>
      <c r="N266" s="82"/>
      <c r="O266" s="82"/>
      <c r="P266" s="82"/>
      <c r="Q266" s="82"/>
      <c r="R266" s="82"/>
      <c r="S266" s="82"/>
      <c r="T266" s="82"/>
      <c r="U266" s="82"/>
      <c r="V266" s="82"/>
      <c r="W266" s="82"/>
      <c r="X266" s="82"/>
      <c r="Y266" s="82"/>
      <c r="Z266" s="82"/>
    </row>
    <row r="267">
      <c r="A267" s="94"/>
      <c r="B267" s="90" t="s">
        <v>450</v>
      </c>
      <c r="C267" s="91" t="s">
        <v>451</v>
      </c>
      <c r="D267" s="94"/>
      <c r="E267" s="93">
        <v>0.095</v>
      </c>
      <c r="F267" s="82"/>
      <c r="G267" s="82"/>
      <c r="H267" s="82"/>
      <c r="I267" s="82"/>
      <c r="J267" s="82"/>
      <c r="K267" s="82"/>
      <c r="L267" s="82"/>
      <c r="M267" s="82"/>
      <c r="N267" s="82"/>
      <c r="O267" s="82"/>
      <c r="P267" s="82"/>
      <c r="Q267" s="82"/>
      <c r="R267" s="82"/>
      <c r="S267" s="82"/>
      <c r="T267" s="82"/>
      <c r="U267" s="82"/>
      <c r="V267" s="82"/>
      <c r="W267" s="82"/>
      <c r="X267" s="82"/>
      <c r="Y267" s="82"/>
      <c r="Z267" s="82"/>
    </row>
    <row r="268">
      <c r="A268" s="95"/>
      <c r="B268" s="90" t="s">
        <v>452</v>
      </c>
      <c r="C268" s="91" t="s">
        <v>452</v>
      </c>
      <c r="D268" s="95"/>
      <c r="E268" s="93">
        <v>0.095</v>
      </c>
      <c r="F268" s="82"/>
      <c r="G268" s="82"/>
      <c r="H268" s="82"/>
      <c r="I268" s="82"/>
      <c r="J268" s="82"/>
      <c r="K268" s="82"/>
      <c r="L268" s="82"/>
      <c r="M268" s="82"/>
      <c r="N268" s="82"/>
      <c r="O268" s="82"/>
      <c r="P268" s="82"/>
      <c r="Q268" s="82"/>
      <c r="R268" s="82"/>
      <c r="S268" s="82"/>
      <c r="T268" s="82"/>
      <c r="U268" s="82"/>
      <c r="V268" s="82"/>
      <c r="W268" s="82"/>
      <c r="X268" s="82"/>
      <c r="Y268" s="82"/>
      <c r="Z268" s="82"/>
    </row>
    <row r="269">
      <c r="A269" s="89" t="s">
        <v>453</v>
      </c>
      <c r="B269" s="90" t="s">
        <v>454</v>
      </c>
      <c r="C269" s="91" t="s">
        <v>455</v>
      </c>
      <c r="D269" s="92" t="s">
        <v>235</v>
      </c>
      <c r="E269" s="93">
        <v>0.095</v>
      </c>
      <c r="F269" s="82"/>
      <c r="G269" s="82"/>
      <c r="H269" s="82"/>
      <c r="I269" s="82"/>
      <c r="J269" s="82"/>
      <c r="K269" s="82"/>
      <c r="L269" s="82"/>
      <c r="M269" s="82"/>
      <c r="N269" s="82"/>
      <c r="O269" s="82"/>
      <c r="P269" s="82"/>
      <c r="Q269" s="82"/>
      <c r="R269" s="82"/>
      <c r="S269" s="82"/>
      <c r="T269" s="82"/>
      <c r="U269" s="82"/>
      <c r="V269" s="82"/>
      <c r="W269" s="82"/>
      <c r="X269" s="82"/>
      <c r="Y269" s="82"/>
      <c r="Z269" s="82"/>
    </row>
    <row r="270">
      <c r="A270" s="94"/>
      <c r="B270" s="90" t="s">
        <v>456</v>
      </c>
      <c r="C270" s="91" t="s">
        <v>456</v>
      </c>
      <c r="D270" s="94"/>
      <c r="E270" s="93">
        <v>0.095</v>
      </c>
      <c r="F270" s="82"/>
      <c r="G270" s="82"/>
      <c r="H270" s="82"/>
      <c r="I270" s="82"/>
      <c r="J270" s="82"/>
      <c r="K270" s="82"/>
      <c r="L270" s="82"/>
      <c r="M270" s="82"/>
      <c r="N270" s="82"/>
      <c r="O270" s="82"/>
      <c r="P270" s="82"/>
      <c r="Q270" s="82"/>
      <c r="R270" s="82"/>
      <c r="S270" s="82"/>
      <c r="T270" s="82"/>
      <c r="U270" s="82"/>
      <c r="V270" s="82"/>
      <c r="W270" s="82"/>
      <c r="X270" s="82"/>
      <c r="Y270" s="82"/>
      <c r="Z270" s="82"/>
    </row>
    <row r="271">
      <c r="A271" s="94"/>
      <c r="B271" s="90" t="s">
        <v>457</v>
      </c>
      <c r="C271" s="91" t="s">
        <v>457</v>
      </c>
      <c r="D271" s="94"/>
      <c r="E271" s="93">
        <v>0.095</v>
      </c>
      <c r="F271" s="82"/>
      <c r="G271" s="82"/>
      <c r="H271" s="82"/>
      <c r="I271" s="82"/>
      <c r="J271" s="82"/>
      <c r="K271" s="82"/>
      <c r="L271" s="82"/>
      <c r="M271" s="82"/>
      <c r="N271" s="82"/>
      <c r="O271" s="82"/>
      <c r="P271" s="82"/>
      <c r="Q271" s="82"/>
      <c r="R271" s="82"/>
      <c r="S271" s="82"/>
      <c r="T271" s="82"/>
      <c r="U271" s="82"/>
      <c r="V271" s="82"/>
      <c r="W271" s="82"/>
      <c r="X271" s="82"/>
      <c r="Y271" s="82"/>
      <c r="Z271" s="82"/>
    </row>
    <row r="272">
      <c r="A272" s="94"/>
      <c r="B272" s="98" t="s">
        <v>458</v>
      </c>
      <c r="C272" s="91" t="s">
        <v>459</v>
      </c>
      <c r="D272" s="94"/>
      <c r="E272" s="93">
        <v>0.095</v>
      </c>
      <c r="F272" s="82"/>
      <c r="G272" s="82"/>
      <c r="H272" s="82"/>
      <c r="I272" s="82"/>
      <c r="J272" s="82"/>
      <c r="K272" s="82"/>
      <c r="L272" s="82"/>
      <c r="M272" s="82"/>
      <c r="N272" s="82"/>
      <c r="O272" s="82"/>
      <c r="P272" s="82"/>
      <c r="Q272" s="82"/>
      <c r="R272" s="82"/>
      <c r="S272" s="82"/>
      <c r="T272" s="82"/>
      <c r="U272" s="82"/>
      <c r="V272" s="82"/>
      <c r="W272" s="82"/>
      <c r="X272" s="82"/>
      <c r="Y272" s="82"/>
      <c r="Z272" s="82"/>
    </row>
    <row r="273">
      <c r="A273" s="94"/>
      <c r="B273" s="90" t="s">
        <v>460</v>
      </c>
      <c r="C273" s="91" t="s">
        <v>461</v>
      </c>
      <c r="D273" s="94"/>
      <c r="E273" s="93">
        <v>0.095</v>
      </c>
      <c r="F273" s="82"/>
      <c r="G273" s="82"/>
      <c r="H273" s="82"/>
      <c r="I273" s="82"/>
      <c r="J273" s="82"/>
      <c r="K273" s="82"/>
      <c r="L273" s="82"/>
      <c r="M273" s="82"/>
      <c r="N273" s="82"/>
      <c r="O273" s="82"/>
      <c r="P273" s="82"/>
      <c r="Q273" s="82"/>
      <c r="R273" s="82"/>
      <c r="S273" s="82"/>
      <c r="T273" s="82"/>
      <c r="U273" s="82"/>
      <c r="V273" s="82"/>
      <c r="W273" s="82"/>
      <c r="X273" s="82"/>
      <c r="Y273" s="82"/>
      <c r="Z273" s="82"/>
    </row>
    <row r="274">
      <c r="A274" s="94"/>
      <c r="B274" s="90" t="s">
        <v>462</v>
      </c>
      <c r="C274" s="91" t="s">
        <v>462</v>
      </c>
      <c r="D274" s="94"/>
      <c r="E274" s="93">
        <v>0.095</v>
      </c>
      <c r="F274" s="82"/>
      <c r="G274" s="82"/>
      <c r="H274" s="82"/>
      <c r="I274" s="82"/>
      <c r="J274" s="82"/>
      <c r="K274" s="82"/>
      <c r="L274" s="82"/>
      <c r="M274" s="82"/>
      <c r="N274" s="82"/>
      <c r="O274" s="82"/>
      <c r="P274" s="82"/>
      <c r="Q274" s="82"/>
      <c r="R274" s="82"/>
      <c r="S274" s="82"/>
      <c r="T274" s="82"/>
      <c r="U274" s="82"/>
      <c r="V274" s="82"/>
      <c r="W274" s="82"/>
      <c r="X274" s="82"/>
      <c r="Y274" s="82"/>
      <c r="Z274" s="82"/>
    </row>
    <row r="275">
      <c r="A275" s="94"/>
      <c r="B275" s="90" t="s">
        <v>463</v>
      </c>
      <c r="C275" s="91" t="s">
        <v>463</v>
      </c>
      <c r="D275" s="95"/>
      <c r="E275" s="93">
        <v>0.095</v>
      </c>
      <c r="F275" s="82"/>
      <c r="G275" s="82"/>
      <c r="H275" s="82"/>
      <c r="I275" s="82"/>
      <c r="J275" s="82"/>
      <c r="K275" s="82"/>
      <c r="L275" s="82"/>
      <c r="M275" s="82"/>
      <c r="N275" s="82"/>
      <c r="O275" s="82"/>
      <c r="P275" s="82"/>
      <c r="Q275" s="82"/>
      <c r="R275" s="82"/>
      <c r="S275" s="82"/>
      <c r="T275" s="82"/>
      <c r="U275" s="82"/>
      <c r="V275" s="82"/>
      <c r="W275" s="82"/>
      <c r="X275" s="82"/>
      <c r="Y275" s="82"/>
      <c r="Z275" s="82"/>
    </row>
    <row r="276">
      <c r="A276" s="94"/>
      <c r="B276" s="90" t="s">
        <v>464</v>
      </c>
      <c r="C276" s="91" t="s">
        <v>465</v>
      </c>
      <c r="D276" s="86" t="s">
        <v>64</v>
      </c>
      <c r="E276" s="93">
        <v>0.09</v>
      </c>
      <c r="F276" s="82"/>
      <c r="G276" s="82"/>
      <c r="H276" s="82"/>
      <c r="I276" s="82"/>
      <c r="J276" s="82"/>
      <c r="K276" s="82"/>
      <c r="L276" s="82"/>
      <c r="M276" s="82"/>
      <c r="N276" s="82"/>
      <c r="O276" s="82"/>
      <c r="P276" s="82"/>
      <c r="Q276" s="82"/>
      <c r="R276" s="82"/>
      <c r="S276" s="82"/>
      <c r="T276" s="82"/>
      <c r="U276" s="82"/>
      <c r="V276" s="82"/>
      <c r="W276" s="82"/>
      <c r="X276" s="82"/>
      <c r="Y276" s="82"/>
      <c r="Z276" s="82"/>
    </row>
    <row r="277">
      <c r="A277" s="95"/>
      <c r="B277" s="90" t="s">
        <v>466</v>
      </c>
      <c r="C277" s="91" t="s">
        <v>466</v>
      </c>
      <c r="D277" s="86" t="s">
        <v>235</v>
      </c>
      <c r="E277" s="93">
        <v>0.095</v>
      </c>
      <c r="F277" s="82"/>
      <c r="G277" s="82"/>
      <c r="H277" s="82"/>
      <c r="I277" s="82"/>
      <c r="J277" s="82"/>
      <c r="K277" s="82"/>
      <c r="L277" s="82"/>
      <c r="M277" s="82"/>
      <c r="N277" s="82"/>
      <c r="O277" s="82"/>
      <c r="P277" s="82"/>
      <c r="Q277" s="82"/>
      <c r="R277" s="82"/>
      <c r="S277" s="82"/>
      <c r="T277" s="82"/>
      <c r="U277" s="82"/>
      <c r="V277" s="82"/>
      <c r="W277" s="82"/>
      <c r="X277" s="82"/>
      <c r="Y277" s="82"/>
      <c r="Z277" s="82"/>
    </row>
    <row r="278">
      <c r="A278" s="89" t="s">
        <v>467</v>
      </c>
      <c r="B278" s="90" t="s">
        <v>468</v>
      </c>
      <c r="C278" s="91" t="s">
        <v>469</v>
      </c>
      <c r="D278" s="86" t="s">
        <v>235</v>
      </c>
      <c r="E278" s="93">
        <v>0.095</v>
      </c>
      <c r="F278" s="82"/>
      <c r="G278" s="82"/>
      <c r="H278" s="82"/>
      <c r="I278" s="82"/>
      <c r="J278" s="82"/>
      <c r="K278" s="82"/>
      <c r="L278" s="82"/>
      <c r="M278" s="82"/>
      <c r="N278" s="82"/>
      <c r="O278" s="82"/>
      <c r="P278" s="82"/>
      <c r="Q278" s="82"/>
      <c r="R278" s="82"/>
      <c r="S278" s="82"/>
      <c r="T278" s="82"/>
      <c r="U278" s="82"/>
      <c r="V278" s="82"/>
      <c r="W278" s="82"/>
      <c r="X278" s="82"/>
      <c r="Y278" s="82"/>
      <c r="Z278" s="82"/>
    </row>
    <row r="279">
      <c r="A279" s="94"/>
      <c r="B279" s="90" t="s">
        <v>470</v>
      </c>
      <c r="C279" s="91" t="s">
        <v>471</v>
      </c>
      <c r="D279" s="86" t="s">
        <v>64</v>
      </c>
      <c r="E279" s="93">
        <v>0.09</v>
      </c>
      <c r="F279" s="82"/>
      <c r="G279" s="82"/>
      <c r="H279" s="82"/>
      <c r="I279" s="82"/>
      <c r="J279" s="82"/>
      <c r="K279" s="82"/>
      <c r="L279" s="82"/>
      <c r="M279" s="82"/>
      <c r="N279" s="82"/>
      <c r="O279" s="82"/>
      <c r="P279" s="82"/>
      <c r="Q279" s="82"/>
      <c r="R279" s="82"/>
      <c r="S279" s="82"/>
      <c r="T279" s="82"/>
      <c r="U279" s="82"/>
      <c r="V279" s="82"/>
      <c r="W279" s="82"/>
      <c r="X279" s="82"/>
      <c r="Y279" s="82"/>
      <c r="Z279" s="82"/>
    </row>
    <row r="280">
      <c r="A280" s="94"/>
      <c r="B280" s="90" t="s">
        <v>472</v>
      </c>
      <c r="C280" s="91" t="s">
        <v>473</v>
      </c>
      <c r="D280" s="92" t="s">
        <v>81</v>
      </c>
      <c r="E280" s="93">
        <v>0.0825</v>
      </c>
      <c r="F280" s="82"/>
      <c r="G280" s="82"/>
      <c r="H280" s="82"/>
      <c r="I280" s="82"/>
      <c r="J280" s="82"/>
      <c r="K280" s="82"/>
      <c r="L280" s="82"/>
      <c r="M280" s="82"/>
      <c r="N280" s="82"/>
      <c r="O280" s="82"/>
      <c r="P280" s="82"/>
      <c r="Q280" s="82"/>
      <c r="R280" s="82"/>
      <c r="S280" s="82"/>
      <c r="T280" s="82"/>
      <c r="U280" s="82"/>
      <c r="V280" s="82"/>
      <c r="W280" s="82"/>
      <c r="X280" s="82"/>
      <c r="Y280" s="82"/>
      <c r="Z280" s="82"/>
    </row>
    <row r="281">
      <c r="A281" s="94"/>
      <c r="B281" s="90" t="s">
        <v>474</v>
      </c>
      <c r="C281" s="91" t="s">
        <v>475</v>
      </c>
      <c r="D281" s="94"/>
      <c r="E281" s="93">
        <v>0.0825</v>
      </c>
      <c r="F281" s="82"/>
      <c r="G281" s="82"/>
      <c r="H281" s="82"/>
      <c r="I281" s="82"/>
      <c r="J281" s="82"/>
      <c r="K281" s="82"/>
      <c r="L281" s="82"/>
      <c r="M281" s="82"/>
      <c r="N281" s="82"/>
      <c r="O281" s="82"/>
      <c r="P281" s="82"/>
      <c r="Q281" s="82"/>
      <c r="R281" s="82"/>
      <c r="S281" s="82"/>
      <c r="T281" s="82"/>
      <c r="U281" s="82"/>
      <c r="V281" s="82"/>
      <c r="W281" s="82"/>
      <c r="X281" s="82"/>
      <c r="Y281" s="82"/>
      <c r="Z281" s="82"/>
    </row>
    <row r="282">
      <c r="A282" s="94"/>
      <c r="B282" s="90" t="s">
        <v>476</v>
      </c>
      <c r="C282" s="91" t="s">
        <v>476</v>
      </c>
      <c r="D282" s="94"/>
      <c r="E282" s="93">
        <v>0.0825</v>
      </c>
      <c r="F282" s="82"/>
      <c r="G282" s="82"/>
      <c r="H282" s="82"/>
      <c r="I282" s="82"/>
      <c r="J282" s="82"/>
      <c r="K282" s="82"/>
      <c r="L282" s="82"/>
      <c r="M282" s="82"/>
      <c r="N282" s="82"/>
      <c r="O282" s="82"/>
      <c r="P282" s="82"/>
      <c r="Q282" s="82"/>
      <c r="R282" s="82"/>
      <c r="S282" s="82"/>
      <c r="T282" s="82"/>
      <c r="U282" s="82"/>
      <c r="V282" s="82"/>
      <c r="W282" s="82"/>
      <c r="X282" s="82"/>
      <c r="Y282" s="82"/>
      <c r="Z282" s="82"/>
    </row>
    <row r="283">
      <c r="A283" s="94"/>
      <c r="B283" s="90" t="s">
        <v>477</v>
      </c>
      <c r="C283" s="91" t="s">
        <v>478</v>
      </c>
      <c r="D283" s="94"/>
      <c r="E283" s="93">
        <v>0.0825</v>
      </c>
      <c r="F283" s="82"/>
      <c r="G283" s="82"/>
      <c r="H283" s="82"/>
      <c r="I283" s="82"/>
      <c r="J283" s="82"/>
      <c r="K283" s="82"/>
      <c r="L283" s="82"/>
      <c r="M283" s="82"/>
      <c r="N283" s="82"/>
      <c r="O283" s="82"/>
      <c r="P283" s="82"/>
      <c r="Q283" s="82"/>
      <c r="R283" s="82"/>
      <c r="S283" s="82"/>
      <c r="T283" s="82"/>
      <c r="U283" s="82"/>
      <c r="V283" s="82"/>
      <c r="W283" s="82"/>
      <c r="X283" s="82"/>
      <c r="Y283" s="82"/>
      <c r="Z283" s="82"/>
    </row>
    <row r="284">
      <c r="A284" s="94"/>
      <c r="B284" s="90" t="s">
        <v>479</v>
      </c>
      <c r="C284" s="91" t="s">
        <v>480</v>
      </c>
      <c r="D284" s="95"/>
      <c r="E284" s="93">
        <v>0.0825</v>
      </c>
      <c r="F284" s="82"/>
      <c r="G284" s="82"/>
      <c r="H284" s="82"/>
      <c r="I284" s="82"/>
      <c r="J284" s="82"/>
      <c r="K284" s="82"/>
      <c r="L284" s="82"/>
      <c r="M284" s="82"/>
      <c r="N284" s="82"/>
      <c r="O284" s="82"/>
      <c r="P284" s="82"/>
      <c r="Q284" s="82"/>
      <c r="R284" s="82"/>
      <c r="S284" s="82"/>
      <c r="T284" s="82"/>
      <c r="U284" s="82"/>
      <c r="V284" s="82"/>
      <c r="W284" s="82"/>
      <c r="X284" s="82"/>
      <c r="Y284" s="82"/>
      <c r="Z284" s="82"/>
    </row>
    <row r="285">
      <c r="A285" s="94"/>
      <c r="B285" s="90" t="s">
        <v>467</v>
      </c>
      <c r="C285" s="91" t="s">
        <v>467</v>
      </c>
      <c r="D285" s="86" t="s">
        <v>481</v>
      </c>
      <c r="E285" s="93">
        <v>0.025</v>
      </c>
      <c r="F285" s="82"/>
      <c r="G285" s="82"/>
      <c r="H285" s="82"/>
      <c r="I285" s="82"/>
      <c r="J285" s="82"/>
      <c r="K285" s="82"/>
      <c r="L285" s="82"/>
      <c r="M285" s="82"/>
      <c r="N285" s="82"/>
      <c r="O285" s="82"/>
      <c r="P285" s="82"/>
      <c r="Q285" s="82"/>
      <c r="R285" s="82"/>
      <c r="S285" s="82"/>
      <c r="T285" s="82"/>
      <c r="U285" s="82"/>
      <c r="V285" s="82"/>
      <c r="W285" s="82"/>
      <c r="X285" s="82"/>
      <c r="Y285" s="82"/>
      <c r="Z285" s="82"/>
    </row>
    <row r="286">
      <c r="A286" s="95"/>
      <c r="B286" s="90" t="s">
        <v>482</v>
      </c>
      <c r="C286" s="91" t="s">
        <v>482</v>
      </c>
      <c r="D286" s="86" t="s">
        <v>81</v>
      </c>
      <c r="E286" s="93">
        <v>0.0825</v>
      </c>
      <c r="F286" s="82"/>
      <c r="G286" s="82"/>
      <c r="H286" s="82"/>
      <c r="I286" s="82"/>
      <c r="J286" s="82"/>
      <c r="K286" s="82"/>
      <c r="L286" s="82"/>
      <c r="M286" s="82"/>
      <c r="N286" s="82"/>
      <c r="O286" s="82"/>
      <c r="P286" s="82"/>
      <c r="Q286" s="82"/>
      <c r="R286" s="82"/>
      <c r="S286" s="82"/>
      <c r="T286" s="82"/>
      <c r="U286" s="82"/>
      <c r="V286" s="82"/>
      <c r="W286" s="82"/>
      <c r="X286" s="82"/>
      <c r="Y286" s="82"/>
      <c r="Z286" s="82"/>
    </row>
    <row r="287">
      <c r="A287" s="89" t="s">
        <v>483</v>
      </c>
      <c r="B287" s="90" t="s">
        <v>484</v>
      </c>
      <c r="C287" s="91" t="s">
        <v>485</v>
      </c>
      <c r="D287" s="92" t="s">
        <v>106</v>
      </c>
      <c r="E287" s="93">
        <v>0.1</v>
      </c>
      <c r="F287" s="82"/>
      <c r="G287" s="82"/>
      <c r="H287" s="82"/>
      <c r="I287" s="82"/>
      <c r="J287" s="82"/>
      <c r="K287" s="82"/>
      <c r="L287" s="82"/>
      <c r="M287" s="82"/>
      <c r="N287" s="82"/>
      <c r="O287" s="82"/>
      <c r="P287" s="82"/>
      <c r="Q287" s="82"/>
      <c r="R287" s="82"/>
      <c r="S287" s="82"/>
      <c r="T287" s="82"/>
      <c r="U287" s="82"/>
      <c r="V287" s="82"/>
      <c r="W287" s="82"/>
      <c r="X287" s="82"/>
      <c r="Y287" s="82"/>
      <c r="Z287" s="82"/>
    </row>
    <row r="288">
      <c r="A288" s="94"/>
      <c r="B288" s="91" t="s">
        <v>486</v>
      </c>
      <c r="C288" s="91" t="s">
        <v>486</v>
      </c>
      <c r="D288" s="95"/>
      <c r="E288" s="93">
        <v>0.1</v>
      </c>
      <c r="F288" s="82"/>
      <c r="G288" s="82"/>
      <c r="H288" s="82"/>
      <c r="I288" s="82"/>
      <c r="J288" s="82"/>
      <c r="K288" s="82"/>
      <c r="L288" s="82"/>
      <c r="M288" s="82"/>
      <c r="N288" s="82"/>
      <c r="O288" s="82"/>
      <c r="P288" s="82"/>
      <c r="Q288" s="82"/>
      <c r="R288" s="82"/>
      <c r="S288" s="82"/>
      <c r="T288" s="82"/>
      <c r="U288" s="82"/>
      <c r="V288" s="82"/>
      <c r="W288" s="82"/>
      <c r="X288" s="82"/>
      <c r="Y288" s="82"/>
      <c r="Z288" s="82"/>
    </row>
    <row r="289">
      <c r="A289" s="94"/>
      <c r="B289" s="90" t="s">
        <v>484</v>
      </c>
      <c r="C289" s="91" t="s">
        <v>487</v>
      </c>
      <c r="D289" s="86" t="s">
        <v>81</v>
      </c>
      <c r="E289" s="93">
        <v>0.0825</v>
      </c>
      <c r="F289" s="82"/>
      <c r="G289" s="82"/>
      <c r="H289" s="82"/>
      <c r="I289" s="82"/>
      <c r="J289" s="82"/>
      <c r="K289" s="82"/>
      <c r="L289" s="82"/>
      <c r="M289" s="82"/>
      <c r="N289" s="82"/>
      <c r="O289" s="82"/>
      <c r="P289" s="82"/>
      <c r="Q289" s="82"/>
      <c r="R289" s="82"/>
      <c r="S289" s="82"/>
      <c r="T289" s="82"/>
      <c r="U289" s="82"/>
      <c r="V289" s="82"/>
      <c r="W289" s="82"/>
      <c r="X289" s="82"/>
      <c r="Y289" s="82"/>
      <c r="Z289" s="82"/>
    </row>
    <row r="290">
      <c r="A290" s="95"/>
      <c r="B290" s="90" t="s">
        <v>488</v>
      </c>
      <c r="C290" s="91" t="s">
        <v>488</v>
      </c>
      <c r="D290" s="86" t="s">
        <v>106</v>
      </c>
      <c r="E290" s="93">
        <v>0.1</v>
      </c>
      <c r="F290" s="82"/>
      <c r="G290" s="82"/>
      <c r="H290" s="82"/>
      <c r="I290" s="82"/>
      <c r="J290" s="82"/>
      <c r="K290" s="82"/>
      <c r="L290" s="82"/>
      <c r="M290" s="82"/>
      <c r="N290" s="82"/>
      <c r="O290" s="82"/>
      <c r="P290" s="82"/>
      <c r="Q290" s="82"/>
      <c r="R290" s="82"/>
      <c r="S290" s="82"/>
      <c r="T290" s="82"/>
      <c r="U290" s="82"/>
      <c r="V290" s="82"/>
      <c r="W290" s="82"/>
      <c r="X290" s="82"/>
      <c r="Y290" s="82"/>
      <c r="Z290" s="82"/>
    </row>
    <row r="291">
      <c r="A291" s="89" t="s">
        <v>489</v>
      </c>
      <c r="B291" s="90" t="s">
        <v>490</v>
      </c>
      <c r="C291" s="91" t="s">
        <v>491</v>
      </c>
      <c r="D291" s="92" t="s">
        <v>106</v>
      </c>
      <c r="E291" s="93">
        <v>0.1</v>
      </c>
      <c r="F291" s="82"/>
      <c r="G291" s="82"/>
      <c r="H291" s="82"/>
      <c r="I291" s="82"/>
      <c r="J291" s="82"/>
      <c r="K291" s="82"/>
      <c r="L291" s="82"/>
      <c r="M291" s="82"/>
      <c r="N291" s="82"/>
      <c r="O291" s="82"/>
      <c r="P291" s="82"/>
      <c r="Q291" s="82"/>
      <c r="R291" s="82"/>
      <c r="S291" s="82"/>
      <c r="T291" s="82"/>
      <c r="U291" s="82"/>
      <c r="V291" s="82"/>
      <c r="W291" s="82"/>
      <c r="X291" s="82"/>
      <c r="Y291" s="82"/>
      <c r="Z291" s="82"/>
    </row>
    <row r="292">
      <c r="A292" s="94"/>
      <c r="B292" s="90" t="s">
        <v>492</v>
      </c>
      <c r="C292" s="91" t="s">
        <v>493</v>
      </c>
      <c r="D292" s="94"/>
      <c r="E292" s="93">
        <v>0.1</v>
      </c>
      <c r="F292" s="82"/>
      <c r="G292" s="82"/>
      <c r="H292" s="82"/>
      <c r="I292" s="82"/>
      <c r="J292" s="82"/>
      <c r="K292" s="82"/>
      <c r="L292" s="82"/>
      <c r="M292" s="82"/>
      <c r="N292" s="82"/>
      <c r="O292" s="82"/>
      <c r="P292" s="82"/>
      <c r="Q292" s="82"/>
      <c r="R292" s="82"/>
      <c r="S292" s="82"/>
      <c r="T292" s="82"/>
      <c r="U292" s="82"/>
      <c r="V292" s="82"/>
      <c r="W292" s="82"/>
      <c r="X292" s="82"/>
      <c r="Y292" s="82"/>
      <c r="Z292" s="82"/>
    </row>
    <row r="293">
      <c r="A293" s="94"/>
      <c r="B293" s="90" t="s">
        <v>494</v>
      </c>
      <c r="C293" s="91" t="s">
        <v>495</v>
      </c>
      <c r="D293" s="94"/>
      <c r="E293" s="93">
        <v>0.1</v>
      </c>
      <c r="F293" s="82"/>
      <c r="G293" s="82"/>
      <c r="H293" s="82"/>
      <c r="I293" s="82"/>
      <c r="J293" s="82"/>
      <c r="K293" s="82"/>
      <c r="L293" s="82"/>
      <c r="M293" s="82"/>
      <c r="N293" s="82"/>
      <c r="O293" s="82"/>
      <c r="P293" s="82"/>
      <c r="Q293" s="82"/>
      <c r="R293" s="82"/>
      <c r="S293" s="82"/>
      <c r="T293" s="82"/>
      <c r="U293" s="82"/>
      <c r="V293" s="82"/>
      <c r="W293" s="82"/>
      <c r="X293" s="82"/>
      <c r="Y293" s="82"/>
      <c r="Z293" s="82"/>
    </row>
    <row r="294">
      <c r="A294" s="94"/>
      <c r="B294" s="90" t="s">
        <v>496</v>
      </c>
      <c r="C294" s="91" t="s">
        <v>497</v>
      </c>
      <c r="D294" s="94"/>
      <c r="E294" s="93">
        <v>0.1</v>
      </c>
      <c r="F294" s="82"/>
      <c r="G294" s="82"/>
      <c r="H294" s="82"/>
      <c r="I294" s="82"/>
      <c r="J294" s="82"/>
      <c r="K294" s="82"/>
      <c r="L294" s="82"/>
      <c r="M294" s="82"/>
      <c r="N294" s="82"/>
      <c r="O294" s="82"/>
      <c r="P294" s="82"/>
      <c r="Q294" s="82"/>
      <c r="R294" s="82"/>
      <c r="S294" s="82"/>
      <c r="T294" s="82"/>
      <c r="U294" s="82"/>
      <c r="V294" s="82"/>
      <c r="W294" s="82"/>
      <c r="X294" s="82"/>
      <c r="Y294" s="82"/>
      <c r="Z294" s="82"/>
    </row>
    <row r="295">
      <c r="A295" s="94"/>
      <c r="B295" s="90" t="s">
        <v>498</v>
      </c>
      <c r="C295" s="91" t="s">
        <v>499</v>
      </c>
      <c r="D295" s="94"/>
      <c r="E295" s="93">
        <v>0.1</v>
      </c>
      <c r="F295" s="82"/>
      <c r="G295" s="82"/>
      <c r="H295" s="82"/>
      <c r="I295" s="82"/>
      <c r="J295" s="82"/>
      <c r="K295" s="82"/>
      <c r="L295" s="82"/>
      <c r="M295" s="82"/>
      <c r="N295" s="82"/>
      <c r="O295" s="82"/>
      <c r="P295" s="82"/>
      <c r="Q295" s="82"/>
      <c r="R295" s="82"/>
      <c r="S295" s="82"/>
      <c r="T295" s="82"/>
      <c r="U295" s="82"/>
      <c r="V295" s="82"/>
      <c r="W295" s="82"/>
      <c r="X295" s="82"/>
      <c r="Y295" s="82"/>
      <c r="Z295" s="82"/>
    </row>
    <row r="296">
      <c r="A296" s="94"/>
      <c r="B296" s="90" t="s">
        <v>500</v>
      </c>
      <c r="C296" s="91" t="s">
        <v>501</v>
      </c>
      <c r="D296" s="94"/>
      <c r="E296" s="93">
        <v>0.1</v>
      </c>
      <c r="F296" s="82"/>
      <c r="G296" s="82"/>
      <c r="H296" s="82"/>
      <c r="I296" s="82"/>
      <c r="J296" s="82"/>
      <c r="K296" s="82"/>
      <c r="L296" s="82"/>
      <c r="M296" s="82"/>
      <c r="N296" s="82"/>
      <c r="O296" s="82"/>
      <c r="P296" s="82"/>
      <c r="Q296" s="82"/>
      <c r="R296" s="82"/>
      <c r="S296" s="82"/>
      <c r="T296" s="82"/>
      <c r="U296" s="82"/>
      <c r="V296" s="82"/>
      <c r="W296" s="82"/>
      <c r="X296" s="82"/>
      <c r="Y296" s="82"/>
      <c r="Z296" s="82"/>
    </row>
    <row r="297">
      <c r="A297" s="94"/>
      <c r="B297" s="90" t="s">
        <v>502</v>
      </c>
      <c r="C297" s="91" t="s">
        <v>503</v>
      </c>
      <c r="D297" s="94"/>
      <c r="E297" s="93">
        <v>0.1</v>
      </c>
      <c r="F297" s="82"/>
      <c r="G297" s="82"/>
      <c r="H297" s="82"/>
      <c r="I297" s="82"/>
      <c r="J297" s="82"/>
      <c r="K297" s="82"/>
      <c r="L297" s="82"/>
      <c r="M297" s="82"/>
      <c r="N297" s="82"/>
      <c r="O297" s="82"/>
      <c r="P297" s="82"/>
      <c r="Q297" s="82"/>
      <c r="R297" s="82"/>
      <c r="S297" s="82"/>
      <c r="T297" s="82"/>
      <c r="U297" s="82"/>
      <c r="V297" s="82"/>
      <c r="W297" s="82"/>
      <c r="X297" s="82"/>
      <c r="Y297" s="82"/>
      <c r="Z297" s="82"/>
    </row>
    <row r="298">
      <c r="A298" s="94"/>
      <c r="B298" s="90" t="s">
        <v>504</v>
      </c>
      <c r="C298" s="91" t="s">
        <v>504</v>
      </c>
      <c r="D298" s="94"/>
      <c r="E298" s="93">
        <v>0.1</v>
      </c>
      <c r="F298" s="82"/>
      <c r="G298" s="82"/>
      <c r="H298" s="82"/>
      <c r="I298" s="82"/>
      <c r="J298" s="82"/>
      <c r="K298" s="82"/>
      <c r="L298" s="82"/>
      <c r="M298" s="82"/>
      <c r="N298" s="82"/>
      <c r="O298" s="82"/>
      <c r="P298" s="82"/>
      <c r="Q298" s="82"/>
      <c r="R298" s="82"/>
      <c r="S298" s="82"/>
      <c r="T298" s="82"/>
      <c r="U298" s="82"/>
      <c r="V298" s="82"/>
      <c r="W298" s="82"/>
      <c r="X298" s="82"/>
      <c r="Y298" s="82"/>
      <c r="Z298" s="82"/>
    </row>
    <row r="299">
      <c r="A299" s="94"/>
      <c r="B299" s="90" t="s">
        <v>505</v>
      </c>
      <c r="C299" s="91" t="s">
        <v>506</v>
      </c>
      <c r="D299" s="94"/>
      <c r="E299" s="93">
        <v>0.1</v>
      </c>
      <c r="F299" s="82"/>
      <c r="G299" s="82"/>
      <c r="H299" s="82"/>
      <c r="I299" s="82"/>
      <c r="J299" s="82"/>
      <c r="K299" s="82"/>
      <c r="L299" s="82"/>
      <c r="M299" s="82"/>
      <c r="N299" s="82"/>
      <c r="O299" s="82"/>
      <c r="P299" s="82"/>
      <c r="Q299" s="82"/>
      <c r="R299" s="82"/>
      <c r="S299" s="82"/>
      <c r="T299" s="82"/>
      <c r="U299" s="82"/>
      <c r="V299" s="82"/>
      <c r="W299" s="82"/>
      <c r="X299" s="82"/>
      <c r="Y299" s="82"/>
      <c r="Z299" s="82"/>
    </row>
    <row r="300">
      <c r="A300" s="94"/>
      <c r="B300" s="90" t="s">
        <v>507</v>
      </c>
      <c r="C300" s="91" t="s">
        <v>508</v>
      </c>
      <c r="D300" s="94"/>
      <c r="E300" s="93">
        <v>0.1</v>
      </c>
      <c r="F300" s="82"/>
      <c r="G300" s="82"/>
      <c r="H300" s="82"/>
      <c r="I300" s="82"/>
      <c r="J300" s="82"/>
      <c r="K300" s="82"/>
      <c r="L300" s="82"/>
      <c r="M300" s="82"/>
      <c r="N300" s="82"/>
      <c r="O300" s="82"/>
      <c r="P300" s="82"/>
      <c r="Q300" s="82"/>
      <c r="R300" s="82"/>
      <c r="S300" s="82"/>
      <c r="T300" s="82"/>
      <c r="U300" s="82"/>
      <c r="V300" s="82"/>
      <c r="W300" s="82"/>
      <c r="X300" s="82"/>
      <c r="Y300" s="82"/>
      <c r="Z300" s="82"/>
    </row>
    <row r="301">
      <c r="A301" s="94"/>
      <c r="B301" s="91" t="s">
        <v>509</v>
      </c>
      <c r="C301" s="91" t="s">
        <v>509</v>
      </c>
      <c r="D301" s="94"/>
      <c r="E301" s="93">
        <v>0.1</v>
      </c>
      <c r="F301" s="82"/>
      <c r="G301" s="82"/>
      <c r="H301" s="82"/>
      <c r="I301" s="82"/>
      <c r="J301" s="82"/>
      <c r="K301" s="82"/>
      <c r="L301" s="82"/>
      <c r="M301" s="82"/>
      <c r="N301" s="82"/>
      <c r="O301" s="82"/>
      <c r="P301" s="82"/>
      <c r="Q301" s="82"/>
      <c r="R301" s="82"/>
      <c r="S301" s="82"/>
      <c r="T301" s="82"/>
      <c r="U301" s="82"/>
      <c r="V301" s="82"/>
      <c r="W301" s="82"/>
      <c r="X301" s="82"/>
      <c r="Y301" s="82"/>
      <c r="Z301" s="82"/>
    </row>
    <row r="302">
      <c r="A302" s="94"/>
      <c r="B302" s="90" t="s">
        <v>510</v>
      </c>
      <c r="C302" s="91" t="s">
        <v>511</v>
      </c>
      <c r="D302" s="94"/>
      <c r="E302" s="93">
        <v>0.1</v>
      </c>
      <c r="F302" s="82"/>
      <c r="G302" s="82"/>
      <c r="H302" s="82"/>
      <c r="I302" s="82"/>
      <c r="J302" s="82"/>
      <c r="K302" s="82"/>
      <c r="L302" s="82"/>
      <c r="M302" s="82"/>
      <c r="N302" s="82"/>
      <c r="O302" s="82"/>
      <c r="P302" s="82"/>
      <c r="Q302" s="82"/>
      <c r="R302" s="82"/>
      <c r="S302" s="82"/>
      <c r="T302" s="82"/>
      <c r="U302" s="82"/>
      <c r="V302" s="82"/>
      <c r="W302" s="82"/>
      <c r="X302" s="82"/>
      <c r="Y302" s="82"/>
      <c r="Z302" s="82"/>
    </row>
    <row r="303">
      <c r="A303" s="94"/>
      <c r="B303" s="90" t="s">
        <v>512</v>
      </c>
      <c r="C303" s="91" t="s">
        <v>512</v>
      </c>
      <c r="D303" s="94"/>
      <c r="E303" s="93">
        <v>0.1</v>
      </c>
      <c r="F303" s="82"/>
      <c r="G303" s="82"/>
      <c r="H303" s="82"/>
      <c r="I303" s="82"/>
      <c r="J303" s="82"/>
      <c r="K303" s="82"/>
      <c r="L303" s="82"/>
      <c r="M303" s="82"/>
      <c r="N303" s="82"/>
      <c r="O303" s="82"/>
      <c r="P303" s="82"/>
      <c r="Q303" s="82"/>
      <c r="R303" s="82"/>
      <c r="S303" s="82"/>
      <c r="T303" s="82"/>
      <c r="U303" s="82"/>
      <c r="V303" s="82"/>
      <c r="W303" s="82"/>
      <c r="X303" s="82"/>
      <c r="Y303" s="82"/>
      <c r="Z303" s="82"/>
    </row>
    <row r="304">
      <c r="A304" s="94"/>
      <c r="B304" s="90" t="s">
        <v>513</v>
      </c>
      <c r="C304" s="91" t="s">
        <v>514</v>
      </c>
      <c r="D304" s="95"/>
      <c r="E304" s="93">
        <v>0.1</v>
      </c>
      <c r="F304" s="82"/>
      <c r="G304" s="82"/>
      <c r="H304" s="82"/>
      <c r="I304" s="82"/>
      <c r="J304" s="82"/>
      <c r="K304" s="82"/>
      <c r="L304" s="82"/>
      <c r="M304" s="82"/>
      <c r="N304" s="82"/>
      <c r="O304" s="82"/>
      <c r="P304" s="82"/>
      <c r="Q304" s="82"/>
      <c r="R304" s="82"/>
      <c r="S304" s="82"/>
      <c r="T304" s="82"/>
      <c r="U304" s="82"/>
      <c r="V304" s="82"/>
      <c r="W304" s="82"/>
      <c r="X304" s="82"/>
      <c r="Y304" s="82"/>
      <c r="Z304" s="82"/>
    </row>
    <row r="305">
      <c r="A305" s="94"/>
      <c r="B305" s="90" t="s">
        <v>515</v>
      </c>
      <c r="C305" s="91" t="s">
        <v>515</v>
      </c>
      <c r="D305" s="86" t="s">
        <v>235</v>
      </c>
      <c r="E305" s="93">
        <v>0.095</v>
      </c>
      <c r="F305" s="82"/>
      <c r="G305" s="82"/>
      <c r="H305" s="82"/>
      <c r="I305" s="82"/>
      <c r="J305" s="82"/>
      <c r="K305" s="82"/>
      <c r="L305" s="82"/>
      <c r="M305" s="82"/>
      <c r="N305" s="82"/>
      <c r="O305" s="82"/>
      <c r="P305" s="82"/>
      <c r="Q305" s="82"/>
      <c r="R305" s="82"/>
      <c r="S305" s="82"/>
      <c r="T305" s="82"/>
      <c r="U305" s="82"/>
      <c r="V305" s="82"/>
      <c r="W305" s="82"/>
      <c r="X305" s="82"/>
      <c r="Y305" s="82"/>
      <c r="Z305" s="82"/>
    </row>
    <row r="306">
      <c r="A306" s="94"/>
      <c r="B306" s="90" t="s">
        <v>494</v>
      </c>
      <c r="C306" s="91" t="s">
        <v>516</v>
      </c>
      <c r="D306" s="92" t="s">
        <v>64</v>
      </c>
      <c r="E306" s="93">
        <v>0.09</v>
      </c>
      <c r="F306" s="82"/>
      <c r="G306" s="82"/>
      <c r="H306" s="82"/>
      <c r="I306" s="82"/>
      <c r="J306" s="82"/>
      <c r="K306" s="82"/>
      <c r="L306" s="82"/>
      <c r="M306" s="82"/>
      <c r="N306" s="82"/>
      <c r="O306" s="82"/>
      <c r="P306" s="82"/>
      <c r="Q306" s="82"/>
      <c r="R306" s="82"/>
      <c r="S306" s="82"/>
      <c r="T306" s="82"/>
      <c r="U306" s="82"/>
      <c r="V306" s="82"/>
      <c r="W306" s="82"/>
      <c r="X306" s="82"/>
      <c r="Y306" s="82"/>
      <c r="Z306" s="82"/>
    </row>
    <row r="307">
      <c r="A307" s="94"/>
      <c r="B307" s="90" t="s">
        <v>496</v>
      </c>
      <c r="C307" s="91" t="s">
        <v>517</v>
      </c>
      <c r="D307" s="94"/>
      <c r="E307" s="93">
        <v>0.09</v>
      </c>
      <c r="F307" s="82"/>
      <c r="G307" s="82"/>
      <c r="H307" s="82"/>
      <c r="I307" s="82"/>
      <c r="J307" s="82"/>
      <c r="K307" s="82"/>
      <c r="L307" s="82"/>
      <c r="M307" s="82"/>
      <c r="N307" s="82"/>
      <c r="O307" s="82"/>
      <c r="P307" s="82"/>
      <c r="Q307" s="82"/>
      <c r="R307" s="82"/>
      <c r="S307" s="82"/>
      <c r="T307" s="82"/>
      <c r="U307" s="82"/>
      <c r="V307" s="82"/>
      <c r="W307" s="82"/>
      <c r="X307" s="82"/>
      <c r="Y307" s="82"/>
      <c r="Z307" s="82"/>
    </row>
    <row r="308">
      <c r="A308" s="94"/>
      <c r="B308" s="90" t="s">
        <v>505</v>
      </c>
      <c r="C308" s="91" t="s">
        <v>518</v>
      </c>
      <c r="D308" s="94"/>
      <c r="E308" s="93">
        <v>0.09</v>
      </c>
      <c r="F308" s="82"/>
      <c r="G308" s="82"/>
      <c r="H308" s="82"/>
      <c r="I308" s="82"/>
      <c r="J308" s="82"/>
      <c r="K308" s="82"/>
      <c r="L308" s="82"/>
      <c r="M308" s="82"/>
      <c r="N308" s="82"/>
      <c r="O308" s="82"/>
      <c r="P308" s="82"/>
      <c r="Q308" s="82"/>
      <c r="R308" s="82"/>
      <c r="S308" s="82"/>
      <c r="T308" s="82"/>
      <c r="U308" s="82"/>
      <c r="V308" s="82"/>
      <c r="W308" s="82"/>
      <c r="X308" s="82"/>
      <c r="Y308" s="82"/>
      <c r="Z308" s="82"/>
    </row>
    <row r="309">
      <c r="A309" s="94"/>
      <c r="B309" s="90" t="s">
        <v>519</v>
      </c>
      <c r="C309" s="91" t="s">
        <v>520</v>
      </c>
      <c r="D309" s="94"/>
      <c r="E309" s="93">
        <v>0.09</v>
      </c>
      <c r="F309" s="82"/>
      <c r="G309" s="82"/>
      <c r="H309" s="82"/>
      <c r="I309" s="82"/>
      <c r="J309" s="82"/>
      <c r="K309" s="82"/>
      <c r="L309" s="82"/>
      <c r="M309" s="82"/>
      <c r="N309" s="82"/>
      <c r="O309" s="82"/>
      <c r="P309" s="82"/>
      <c r="Q309" s="82"/>
      <c r="R309" s="82"/>
      <c r="S309" s="82"/>
      <c r="T309" s="82"/>
      <c r="U309" s="82"/>
      <c r="V309" s="82"/>
      <c r="W309" s="82"/>
      <c r="X309" s="82"/>
      <c r="Y309" s="82"/>
      <c r="Z309" s="82"/>
    </row>
    <row r="310">
      <c r="A310" s="94"/>
      <c r="B310" s="90" t="s">
        <v>521</v>
      </c>
      <c r="C310" s="91" t="s">
        <v>522</v>
      </c>
      <c r="D310" s="95"/>
      <c r="E310" s="93">
        <v>0.09</v>
      </c>
      <c r="F310" s="82"/>
      <c r="G310" s="82"/>
      <c r="H310" s="82"/>
      <c r="I310" s="82"/>
      <c r="J310" s="82"/>
      <c r="K310" s="82"/>
      <c r="L310" s="82"/>
      <c r="M310" s="82"/>
      <c r="N310" s="82"/>
      <c r="O310" s="82"/>
      <c r="P310" s="82"/>
      <c r="Q310" s="82"/>
      <c r="R310" s="82"/>
      <c r="S310" s="82"/>
      <c r="T310" s="82"/>
      <c r="U310" s="82"/>
      <c r="V310" s="82"/>
      <c r="W310" s="82"/>
      <c r="X310" s="82"/>
      <c r="Y310" s="82"/>
      <c r="Z310" s="82"/>
    </row>
    <row r="311">
      <c r="A311" s="94"/>
      <c r="B311" s="90" t="s">
        <v>510</v>
      </c>
      <c r="C311" s="91" t="s">
        <v>523</v>
      </c>
      <c r="D311" s="99" t="s">
        <v>261</v>
      </c>
      <c r="E311" s="93">
        <v>0.065</v>
      </c>
      <c r="F311" s="82"/>
      <c r="G311" s="82"/>
      <c r="H311" s="82"/>
      <c r="I311" s="82"/>
      <c r="J311" s="82"/>
      <c r="K311" s="82"/>
      <c r="L311" s="82"/>
      <c r="M311" s="82"/>
      <c r="N311" s="82"/>
      <c r="O311" s="82"/>
      <c r="P311" s="82"/>
      <c r="Q311" s="82"/>
      <c r="R311" s="82"/>
      <c r="S311" s="82"/>
      <c r="T311" s="82"/>
      <c r="U311" s="82"/>
      <c r="V311" s="82"/>
      <c r="W311" s="82"/>
      <c r="X311" s="82"/>
      <c r="Y311" s="82"/>
      <c r="Z311" s="82"/>
    </row>
    <row r="312">
      <c r="A312" s="95"/>
      <c r="B312" s="90" t="s">
        <v>524</v>
      </c>
      <c r="C312" s="91" t="s">
        <v>524</v>
      </c>
      <c r="D312" s="86" t="s">
        <v>106</v>
      </c>
      <c r="E312" s="93">
        <v>0.1</v>
      </c>
      <c r="F312" s="82"/>
      <c r="G312" s="82"/>
      <c r="H312" s="82"/>
      <c r="I312" s="82"/>
      <c r="J312" s="82"/>
      <c r="K312" s="82"/>
      <c r="L312" s="82"/>
      <c r="M312" s="82"/>
      <c r="N312" s="82"/>
      <c r="O312" s="82"/>
      <c r="P312" s="82"/>
      <c r="Q312" s="82"/>
      <c r="R312" s="82"/>
      <c r="S312" s="82"/>
      <c r="T312" s="82"/>
      <c r="U312" s="82"/>
      <c r="V312" s="82"/>
      <c r="W312" s="82"/>
      <c r="X312" s="82"/>
      <c r="Y312" s="82"/>
      <c r="Z312" s="82"/>
    </row>
    <row r="313">
      <c r="A313" s="89" t="s">
        <v>525</v>
      </c>
      <c r="B313" s="90" t="s">
        <v>526</v>
      </c>
      <c r="C313" s="91" t="s">
        <v>527</v>
      </c>
      <c r="D313" s="92" t="s">
        <v>81</v>
      </c>
      <c r="E313" s="93">
        <v>0.0825</v>
      </c>
      <c r="F313" s="82"/>
      <c r="G313" s="82"/>
      <c r="H313" s="82"/>
      <c r="I313" s="82"/>
      <c r="J313" s="82"/>
      <c r="K313" s="82"/>
      <c r="L313" s="82"/>
      <c r="M313" s="82"/>
      <c r="N313" s="82"/>
      <c r="O313" s="82"/>
      <c r="P313" s="82"/>
      <c r="Q313" s="82"/>
      <c r="R313" s="82"/>
      <c r="S313" s="82"/>
      <c r="T313" s="82"/>
      <c r="U313" s="82"/>
      <c r="V313" s="82"/>
      <c r="W313" s="82"/>
      <c r="X313" s="82"/>
      <c r="Y313" s="82"/>
      <c r="Z313" s="82"/>
    </row>
    <row r="314">
      <c r="A314" s="94"/>
      <c r="B314" s="90" t="s">
        <v>528</v>
      </c>
      <c r="C314" s="91" t="s">
        <v>528</v>
      </c>
      <c r="D314" s="94"/>
      <c r="E314" s="93">
        <v>0.0825</v>
      </c>
      <c r="F314" s="82"/>
      <c r="G314" s="82"/>
      <c r="H314" s="82"/>
      <c r="I314" s="82"/>
      <c r="J314" s="82"/>
      <c r="K314" s="82"/>
      <c r="L314" s="82"/>
      <c r="M314" s="82"/>
      <c r="N314" s="82"/>
      <c r="O314" s="82"/>
      <c r="P314" s="82"/>
      <c r="Q314" s="82"/>
      <c r="R314" s="82"/>
      <c r="S314" s="82"/>
      <c r="T314" s="82"/>
      <c r="U314" s="82"/>
      <c r="V314" s="82"/>
      <c r="W314" s="82"/>
      <c r="X314" s="82"/>
      <c r="Y314" s="82"/>
      <c r="Z314" s="82"/>
    </row>
    <row r="315">
      <c r="A315" s="94"/>
      <c r="B315" s="90" t="s">
        <v>529</v>
      </c>
      <c r="C315" s="91" t="s">
        <v>530</v>
      </c>
      <c r="D315" s="95"/>
      <c r="E315" s="93">
        <v>0.0825</v>
      </c>
      <c r="F315" s="82"/>
      <c r="G315" s="82"/>
      <c r="H315" s="82"/>
      <c r="I315" s="82"/>
      <c r="J315" s="82"/>
      <c r="K315" s="82"/>
      <c r="L315" s="82"/>
      <c r="M315" s="82"/>
      <c r="N315" s="82"/>
      <c r="O315" s="82"/>
      <c r="P315" s="82"/>
      <c r="Q315" s="82"/>
      <c r="R315" s="82"/>
      <c r="S315" s="82"/>
      <c r="T315" s="82"/>
      <c r="U315" s="82"/>
      <c r="V315" s="82"/>
      <c r="W315" s="82"/>
      <c r="X315" s="82"/>
      <c r="Y315" s="82"/>
      <c r="Z315" s="82"/>
    </row>
    <row r="316">
      <c r="A316" s="94"/>
      <c r="B316" s="90" t="s">
        <v>525</v>
      </c>
      <c r="C316" s="91" t="s">
        <v>525</v>
      </c>
      <c r="D316" s="86" t="s">
        <v>481</v>
      </c>
      <c r="E316" s="93">
        <v>0.025</v>
      </c>
      <c r="F316" s="82"/>
      <c r="G316" s="82"/>
      <c r="H316" s="82"/>
      <c r="I316" s="82"/>
      <c r="J316" s="82"/>
      <c r="K316" s="82"/>
      <c r="L316" s="82"/>
      <c r="M316" s="82"/>
      <c r="N316" s="82"/>
      <c r="O316" s="82"/>
      <c r="P316" s="82"/>
      <c r="Q316" s="82"/>
      <c r="R316" s="82"/>
      <c r="S316" s="82"/>
      <c r="T316" s="82"/>
      <c r="U316" s="82"/>
      <c r="V316" s="82"/>
      <c r="W316" s="82"/>
      <c r="X316" s="82"/>
      <c r="Y316" s="82"/>
      <c r="Z316" s="82"/>
    </row>
    <row r="317">
      <c r="A317" s="95"/>
      <c r="B317" s="90" t="s">
        <v>531</v>
      </c>
      <c r="C317" s="91" t="s">
        <v>531</v>
      </c>
      <c r="D317" s="86" t="s">
        <v>81</v>
      </c>
      <c r="E317" s="93">
        <v>0.0825</v>
      </c>
      <c r="F317" s="82"/>
      <c r="G317" s="82"/>
      <c r="H317" s="82"/>
      <c r="I317" s="82"/>
      <c r="J317" s="82"/>
      <c r="K317" s="82"/>
      <c r="L317" s="82"/>
      <c r="M317" s="82"/>
      <c r="N317" s="82"/>
      <c r="O317" s="82"/>
      <c r="P317" s="82"/>
      <c r="Q317" s="82"/>
      <c r="R317" s="82"/>
      <c r="S317" s="82"/>
      <c r="T317" s="82"/>
      <c r="U317" s="82"/>
      <c r="V317" s="82"/>
      <c r="W317" s="82"/>
      <c r="X317" s="82"/>
      <c r="Y317" s="82"/>
      <c r="Z317" s="82"/>
    </row>
    <row r="318">
      <c r="A318" s="81" t="s">
        <v>227</v>
      </c>
      <c r="B318" s="82"/>
      <c r="C318" s="83"/>
      <c r="D318" s="82"/>
      <c r="E318" s="84"/>
      <c r="F318" s="82"/>
      <c r="G318" s="82"/>
      <c r="H318" s="82"/>
      <c r="I318" s="82"/>
      <c r="J318" s="82"/>
      <c r="K318" s="82"/>
      <c r="L318" s="82"/>
      <c r="M318" s="82"/>
      <c r="N318" s="82"/>
      <c r="O318" s="82"/>
      <c r="P318" s="82"/>
      <c r="Q318" s="82"/>
      <c r="R318" s="82"/>
      <c r="S318" s="82"/>
      <c r="T318" s="82"/>
      <c r="U318" s="82"/>
      <c r="V318" s="82"/>
      <c r="W318" s="82"/>
      <c r="X318" s="82"/>
      <c r="Y318" s="82"/>
      <c r="Z318" s="82"/>
    </row>
    <row r="319">
      <c r="A319" s="85"/>
      <c r="B319" s="82"/>
      <c r="C319" s="83"/>
      <c r="D319" s="82"/>
      <c r="E319" s="84"/>
      <c r="F319" s="82"/>
      <c r="G319" s="82"/>
      <c r="H319" s="82"/>
      <c r="I319" s="82"/>
      <c r="J319" s="82"/>
      <c r="K319" s="82"/>
      <c r="L319" s="82"/>
      <c r="M319" s="82"/>
      <c r="N319" s="82"/>
      <c r="O319" s="82"/>
      <c r="P319" s="82"/>
      <c r="Q319" s="82"/>
      <c r="R319" s="82"/>
      <c r="S319" s="82"/>
      <c r="T319" s="82"/>
      <c r="U319" s="82"/>
      <c r="V319" s="82"/>
      <c r="W319" s="82"/>
      <c r="X319" s="82"/>
      <c r="Y319" s="82"/>
      <c r="Z319" s="82"/>
    </row>
    <row r="320">
      <c r="A320" s="81" t="s">
        <v>532</v>
      </c>
      <c r="B320" s="82"/>
      <c r="C320" s="83"/>
      <c r="D320" s="82"/>
      <c r="E320" s="84"/>
      <c r="F320" s="82"/>
      <c r="G320" s="82"/>
      <c r="H320" s="82"/>
      <c r="I320" s="82"/>
      <c r="J320" s="82"/>
      <c r="K320" s="82"/>
      <c r="L320" s="82"/>
      <c r="M320" s="82"/>
      <c r="N320" s="82"/>
      <c r="O320" s="82"/>
      <c r="P320" s="82"/>
      <c r="Q320" s="82"/>
      <c r="R320" s="82"/>
      <c r="S320" s="82"/>
      <c r="T320" s="82"/>
      <c r="U320" s="82"/>
      <c r="V320" s="82"/>
      <c r="W320" s="82"/>
      <c r="X320" s="82"/>
      <c r="Y320" s="82"/>
      <c r="Z320" s="82"/>
    </row>
    <row r="321">
      <c r="A321" s="85"/>
      <c r="B321" s="82"/>
      <c r="C321" s="83"/>
      <c r="D321" s="82"/>
      <c r="E321" s="84"/>
      <c r="F321" s="82"/>
      <c r="G321" s="82"/>
      <c r="H321" s="82"/>
      <c r="I321" s="82"/>
      <c r="J321" s="82"/>
      <c r="K321" s="82"/>
      <c r="L321" s="82"/>
      <c r="M321" s="82"/>
      <c r="N321" s="82"/>
      <c r="O321" s="82"/>
      <c r="P321" s="82"/>
      <c r="Q321" s="82"/>
      <c r="R321" s="82"/>
      <c r="S321" s="82"/>
      <c r="T321" s="82"/>
      <c r="U321" s="82"/>
      <c r="V321" s="82"/>
      <c r="W321" s="82"/>
      <c r="X321" s="82"/>
      <c r="Y321" s="82"/>
      <c r="Z321" s="82"/>
    </row>
    <row r="322">
      <c r="A322" s="86" t="s">
        <v>59</v>
      </c>
      <c r="B322" s="87" t="s">
        <v>229</v>
      </c>
      <c r="C322" s="88" t="s">
        <v>230</v>
      </c>
      <c r="D322" s="87" t="s">
        <v>60</v>
      </c>
      <c r="E322" s="84"/>
      <c r="F322" s="82"/>
      <c r="G322" s="82"/>
      <c r="H322" s="82"/>
      <c r="I322" s="82"/>
      <c r="J322" s="82"/>
      <c r="K322" s="82"/>
      <c r="L322" s="82"/>
      <c r="M322" s="82"/>
      <c r="N322" s="82"/>
      <c r="O322" s="82"/>
      <c r="P322" s="82"/>
      <c r="Q322" s="82"/>
      <c r="R322" s="82"/>
      <c r="S322" s="82"/>
      <c r="T322" s="82"/>
      <c r="U322" s="82"/>
      <c r="V322" s="82"/>
      <c r="W322" s="82"/>
      <c r="X322" s="82"/>
      <c r="Y322" s="82"/>
      <c r="Z322" s="82"/>
    </row>
    <row r="323">
      <c r="A323" s="89" t="s">
        <v>533</v>
      </c>
      <c r="B323" s="90" t="s">
        <v>534</v>
      </c>
      <c r="C323" s="91" t="s">
        <v>535</v>
      </c>
      <c r="D323" s="92" t="s">
        <v>235</v>
      </c>
      <c r="E323" s="93">
        <v>0.095</v>
      </c>
      <c r="F323" s="82"/>
      <c r="G323" s="82"/>
      <c r="H323" s="82"/>
      <c r="I323" s="82"/>
      <c r="J323" s="82"/>
      <c r="K323" s="82"/>
      <c r="L323" s="82"/>
      <c r="M323" s="82"/>
      <c r="N323" s="82"/>
      <c r="O323" s="82"/>
      <c r="P323" s="82"/>
      <c r="Q323" s="82"/>
      <c r="R323" s="82"/>
      <c r="S323" s="82"/>
      <c r="T323" s="82"/>
      <c r="U323" s="82"/>
      <c r="V323" s="82"/>
      <c r="W323" s="82"/>
      <c r="X323" s="82"/>
      <c r="Y323" s="82"/>
      <c r="Z323" s="82"/>
    </row>
    <row r="324">
      <c r="A324" s="94"/>
      <c r="B324" s="90" t="s">
        <v>536</v>
      </c>
      <c r="C324" s="91" t="s">
        <v>536</v>
      </c>
      <c r="D324" s="94"/>
      <c r="E324" s="93">
        <v>0.095</v>
      </c>
      <c r="F324" s="82"/>
      <c r="G324" s="82"/>
      <c r="H324" s="82"/>
      <c r="I324" s="82"/>
      <c r="J324" s="82"/>
      <c r="K324" s="82"/>
      <c r="L324" s="82"/>
      <c r="M324" s="82"/>
      <c r="N324" s="82"/>
      <c r="O324" s="82"/>
      <c r="P324" s="82"/>
      <c r="Q324" s="82"/>
      <c r="R324" s="82"/>
      <c r="S324" s="82"/>
      <c r="T324" s="82"/>
      <c r="U324" s="82"/>
      <c r="V324" s="82"/>
      <c r="W324" s="82"/>
      <c r="X324" s="82"/>
      <c r="Y324" s="82"/>
      <c r="Z324" s="82"/>
    </row>
    <row r="325">
      <c r="A325" s="94"/>
      <c r="B325" s="90" t="s">
        <v>537</v>
      </c>
      <c r="C325" s="91" t="s">
        <v>537</v>
      </c>
      <c r="D325" s="94"/>
      <c r="E325" s="93">
        <v>0.095</v>
      </c>
      <c r="F325" s="82"/>
      <c r="G325" s="82"/>
      <c r="H325" s="82"/>
      <c r="I325" s="82"/>
      <c r="J325" s="82"/>
      <c r="K325" s="82"/>
      <c r="L325" s="82"/>
      <c r="M325" s="82"/>
      <c r="N325" s="82"/>
      <c r="O325" s="82"/>
      <c r="P325" s="82"/>
      <c r="Q325" s="82"/>
      <c r="R325" s="82"/>
      <c r="S325" s="82"/>
      <c r="T325" s="82"/>
      <c r="U325" s="82"/>
      <c r="V325" s="82"/>
      <c r="W325" s="82"/>
      <c r="X325" s="82"/>
      <c r="Y325" s="82"/>
      <c r="Z325" s="82"/>
    </row>
    <row r="326">
      <c r="A326" s="94"/>
      <c r="B326" s="90" t="s">
        <v>276</v>
      </c>
      <c r="C326" s="91" t="s">
        <v>538</v>
      </c>
      <c r="D326" s="94"/>
      <c r="E326" s="93">
        <v>0.095</v>
      </c>
      <c r="F326" s="82"/>
      <c r="G326" s="82"/>
      <c r="H326" s="82"/>
      <c r="I326" s="82"/>
      <c r="J326" s="82"/>
      <c r="K326" s="82"/>
      <c r="L326" s="82"/>
      <c r="M326" s="82"/>
      <c r="N326" s="82"/>
      <c r="O326" s="82"/>
      <c r="P326" s="82"/>
      <c r="Q326" s="82"/>
      <c r="R326" s="82"/>
      <c r="S326" s="82"/>
      <c r="T326" s="82"/>
      <c r="U326" s="82"/>
      <c r="V326" s="82"/>
      <c r="W326" s="82"/>
      <c r="X326" s="82"/>
      <c r="Y326" s="82"/>
      <c r="Z326" s="82"/>
    </row>
    <row r="327">
      <c r="A327" s="94"/>
      <c r="B327" s="90" t="s">
        <v>539</v>
      </c>
      <c r="C327" s="91" t="s">
        <v>540</v>
      </c>
      <c r="D327" s="94"/>
      <c r="E327" s="93">
        <v>0.095</v>
      </c>
      <c r="F327" s="82"/>
      <c r="G327" s="82"/>
      <c r="H327" s="82"/>
      <c r="I327" s="82"/>
      <c r="J327" s="82"/>
      <c r="K327" s="82"/>
      <c r="L327" s="82"/>
      <c r="M327" s="82"/>
      <c r="N327" s="82"/>
      <c r="O327" s="82"/>
      <c r="P327" s="82"/>
      <c r="Q327" s="82"/>
      <c r="R327" s="82"/>
      <c r="S327" s="82"/>
      <c r="T327" s="82"/>
      <c r="U327" s="82"/>
      <c r="V327" s="82"/>
      <c r="W327" s="82"/>
      <c r="X327" s="82"/>
      <c r="Y327" s="82"/>
      <c r="Z327" s="82"/>
    </row>
    <row r="328">
      <c r="A328" s="94"/>
      <c r="B328" s="90" t="s">
        <v>541</v>
      </c>
      <c r="C328" s="91" t="s">
        <v>541</v>
      </c>
      <c r="D328" s="94"/>
      <c r="E328" s="93">
        <v>0.095</v>
      </c>
      <c r="F328" s="82"/>
      <c r="G328" s="82"/>
      <c r="H328" s="82"/>
      <c r="I328" s="82"/>
      <c r="J328" s="82"/>
      <c r="K328" s="82"/>
      <c r="L328" s="82"/>
      <c r="M328" s="82"/>
      <c r="N328" s="82"/>
      <c r="O328" s="82"/>
      <c r="P328" s="82"/>
      <c r="Q328" s="82"/>
      <c r="R328" s="82"/>
      <c r="S328" s="82"/>
      <c r="T328" s="82"/>
      <c r="U328" s="82"/>
      <c r="V328" s="82"/>
      <c r="W328" s="82"/>
      <c r="X328" s="82"/>
      <c r="Y328" s="82"/>
      <c r="Z328" s="82"/>
    </row>
    <row r="329">
      <c r="A329" s="94"/>
      <c r="B329" s="90" t="s">
        <v>542</v>
      </c>
      <c r="C329" s="91" t="s">
        <v>543</v>
      </c>
      <c r="D329" s="94"/>
      <c r="E329" s="93">
        <v>0.095</v>
      </c>
      <c r="F329" s="82"/>
      <c r="G329" s="82"/>
      <c r="H329" s="82"/>
      <c r="I329" s="82"/>
      <c r="J329" s="82"/>
      <c r="K329" s="82"/>
      <c r="L329" s="82"/>
      <c r="M329" s="82"/>
      <c r="N329" s="82"/>
      <c r="O329" s="82"/>
      <c r="P329" s="82"/>
      <c r="Q329" s="82"/>
      <c r="R329" s="82"/>
      <c r="S329" s="82"/>
      <c r="T329" s="82"/>
      <c r="U329" s="82"/>
      <c r="V329" s="82"/>
      <c r="W329" s="82"/>
      <c r="X329" s="82"/>
      <c r="Y329" s="82"/>
      <c r="Z329" s="82"/>
    </row>
    <row r="330">
      <c r="A330" s="94"/>
      <c r="B330" s="90" t="s">
        <v>544</v>
      </c>
      <c r="C330" s="91" t="s">
        <v>545</v>
      </c>
      <c r="D330" s="94"/>
      <c r="E330" s="93">
        <v>0.095</v>
      </c>
      <c r="F330" s="82"/>
      <c r="G330" s="82"/>
      <c r="H330" s="82"/>
      <c r="I330" s="82"/>
      <c r="J330" s="82"/>
      <c r="K330" s="82"/>
      <c r="L330" s="82"/>
      <c r="M330" s="82"/>
      <c r="N330" s="82"/>
      <c r="O330" s="82"/>
      <c r="P330" s="82"/>
      <c r="Q330" s="82"/>
      <c r="R330" s="82"/>
      <c r="S330" s="82"/>
      <c r="T330" s="82"/>
      <c r="U330" s="82"/>
      <c r="V330" s="82"/>
      <c r="W330" s="82"/>
      <c r="X330" s="82"/>
      <c r="Y330" s="82"/>
      <c r="Z330" s="82"/>
    </row>
    <row r="331">
      <c r="A331" s="94"/>
      <c r="B331" s="90" t="s">
        <v>546</v>
      </c>
      <c r="C331" s="91" t="s">
        <v>547</v>
      </c>
      <c r="D331" s="95"/>
      <c r="E331" s="93">
        <v>0.095</v>
      </c>
      <c r="F331" s="82"/>
      <c r="G331" s="82"/>
      <c r="H331" s="82"/>
      <c r="I331" s="82"/>
      <c r="J331" s="82"/>
      <c r="K331" s="82"/>
      <c r="L331" s="82"/>
      <c r="M331" s="82"/>
      <c r="N331" s="82"/>
      <c r="O331" s="82"/>
      <c r="P331" s="82"/>
      <c r="Q331" s="82"/>
      <c r="R331" s="82"/>
      <c r="S331" s="82"/>
      <c r="T331" s="82"/>
      <c r="U331" s="82"/>
      <c r="V331" s="82"/>
      <c r="W331" s="82"/>
      <c r="X331" s="82"/>
      <c r="Y331" s="82"/>
      <c r="Z331" s="82"/>
    </row>
    <row r="332">
      <c r="A332" s="94"/>
      <c r="B332" s="90" t="s">
        <v>548</v>
      </c>
      <c r="C332" s="91" t="s">
        <v>548</v>
      </c>
      <c r="D332" s="86" t="s">
        <v>64</v>
      </c>
      <c r="E332" s="93">
        <v>0.09</v>
      </c>
      <c r="F332" s="82"/>
      <c r="G332" s="82"/>
      <c r="H332" s="82"/>
      <c r="I332" s="82"/>
      <c r="J332" s="82"/>
      <c r="K332" s="82"/>
      <c r="L332" s="82"/>
      <c r="M332" s="82"/>
      <c r="N332" s="82"/>
      <c r="O332" s="82"/>
      <c r="P332" s="82"/>
      <c r="Q332" s="82"/>
      <c r="R332" s="82"/>
      <c r="S332" s="82"/>
      <c r="T332" s="82"/>
      <c r="U332" s="82"/>
      <c r="V332" s="82"/>
      <c r="W332" s="82"/>
      <c r="X332" s="82"/>
      <c r="Y332" s="82"/>
      <c r="Z332" s="82"/>
    </row>
    <row r="333">
      <c r="A333" s="95"/>
      <c r="B333" s="90" t="s">
        <v>549</v>
      </c>
      <c r="C333" s="91" t="s">
        <v>549</v>
      </c>
      <c r="D333" s="86" t="s">
        <v>81</v>
      </c>
      <c r="E333" s="93">
        <v>0.0825</v>
      </c>
      <c r="F333" s="82"/>
      <c r="G333" s="82"/>
      <c r="H333" s="82"/>
      <c r="I333" s="82"/>
      <c r="J333" s="82"/>
      <c r="K333" s="82"/>
      <c r="L333" s="82"/>
      <c r="M333" s="82"/>
      <c r="N333" s="82"/>
      <c r="O333" s="82"/>
      <c r="P333" s="82"/>
      <c r="Q333" s="82"/>
      <c r="R333" s="82"/>
      <c r="S333" s="82"/>
      <c r="T333" s="82"/>
      <c r="U333" s="82"/>
      <c r="V333" s="82"/>
      <c r="W333" s="82"/>
      <c r="X333" s="82"/>
      <c r="Y333" s="82"/>
      <c r="Z333" s="82"/>
    </row>
    <row r="334">
      <c r="A334" s="100"/>
      <c r="B334" s="82"/>
      <c r="C334" s="83"/>
      <c r="D334" s="82"/>
      <c r="E334" s="84"/>
      <c r="F334" s="82"/>
      <c r="G334" s="82"/>
      <c r="H334" s="82"/>
      <c r="I334" s="82"/>
      <c r="J334" s="82"/>
      <c r="K334" s="82"/>
      <c r="L334" s="82"/>
      <c r="M334" s="82"/>
      <c r="N334" s="82"/>
      <c r="O334" s="82"/>
      <c r="P334" s="82"/>
      <c r="Q334" s="82"/>
      <c r="R334" s="82"/>
      <c r="S334" s="82"/>
      <c r="T334" s="82"/>
      <c r="U334" s="82"/>
      <c r="V334" s="82"/>
      <c r="W334" s="82"/>
      <c r="X334" s="82"/>
      <c r="Y334" s="82"/>
      <c r="Z334" s="82"/>
    </row>
  </sheetData>
  <mergeCells count="74">
    <mergeCell ref="D152:D156"/>
    <mergeCell ref="D157:D158"/>
    <mergeCell ref="D160:D165"/>
    <mergeCell ref="D168:D177"/>
    <mergeCell ref="D184:D187"/>
    <mergeCell ref="D191:D193"/>
    <mergeCell ref="D194:D197"/>
    <mergeCell ref="D198:D201"/>
    <mergeCell ref="D204:D205"/>
    <mergeCell ref="D206:D207"/>
    <mergeCell ref="D208:D209"/>
    <mergeCell ref="D210:D211"/>
    <mergeCell ref="D212:D214"/>
    <mergeCell ref="D216:D217"/>
    <mergeCell ref="D262:D268"/>
    <mergeCell ref="D269:D275"/>
    <mergeCell ref="D219:D221"/>
    <mergeCell ref="D222:D227"/>
    <mergeCell ref="D229:D232"/>
    <mergeCell ref="D234:D240"/>
    <mergeCell ref="D248:D249"/>
    <mergeCell ref="D250:D254"/>
    <mergeCell ref="D258:D259"/>
    <mergeCell ref="A86:A93"/>
    <mergeCell ref="A94:A101"/>
    <mergeCell ref="A102:A110"/>
    <mergeCell ref="A111:A120"/>
    <mergeCell ref="A126:A142"/>
    <mergeCell ref="A143:A150"/>
    <mergeCell ref="A151:A167"/>
    <mergeCell ref="A168:A177"/>
    <mergeCell ref="A183:A189"/>
    <mergeCell ref="A190:A203"/>
    <mergeCell ref="A204:A218"/>
    <mergeCell ref="A219:A228"/>
    <mergeCell ref="A229:A241"/>
    <mergeCell ref="A247:A255"/>
    <mergeCell ref="D32:D38"/>
    <mergeCell ref="D39:D43"/>
    <mergeCell ref="A4:A21"/>
    <mergeCell ref="D4:D17"/>
    <mergeCell ref="D19:D20"/>
    <mergeCell ref="A22:A30"/>
    <mergeCell ref="D22:D28"/>
    <mergeCell ref="A31:A38"/>
    <mergeCell ref="A39:A43"/>
    <mergeCell ref="A44:A48"/>
    <mergeCell ref="D45:D48"/>
    <mergeCell ref="A49:A64"/>
    <mergeCell ref="D50:D64"/>
    <mergeCell ref="A65:A85"/>
    <mergeCell ref="D67:D85"/>
    <mergeCell ref="D86:D93"/>
    <mergeCell ref="D94:D101"/>
    <mergeCell ref="D102:D110"/>
    <mergeCell ref="D111:D120"/>
    <mergeCell ref="D127:D132"/>
    <mergeCell ref="D134:D139"/>
    <mergeCell ref="D144:D145"/>
    <mergeCell ref="D146:D150"/>
    <mergeCell ref="D291:D304"/>
    <mergeCell ref="D306:D310"/>
    <mergeCell ref="D313:D315"/>
    <mergeCell ref="D323:D331"/>
    <mergeCell ref="A256:A261"/>
    <mergeCell ref="A262:A268"/>
    <mergeCell ref="A269:A277"/>
    <mergeCell ref="A278:A286"/>
    <mergeCell ref="D280:D284"/>
    <mergeCell ref="A287:A290"/>
    <mergeCell ref="D287:D288"/>
    <mergeCell ref="A291:A312"/>
    <mergeCell ref="A313:A317"/>
    <mergeCell ref="A323:A33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24.75"/>
    <col customWidth="1" min="3" max="3" width="24.5"/>
    <col customWidth="1" min="4" max="4" width="31.25"/>
    <col customWidth="1" min="5" max="5" width="34.75"/>
  </cols>
  <sheetData>
    <row r="1">
      <c r="A1" s="101"/>
      <c r="B1" s="101"/>
      <c r="C1" s="101"/>
      <c r="D1" s="101"/>
      <c r="E1" s="101"/>
      <c r="F1" s="102"/>
    </row>
    <row r="2">
      <c r="A2" s="101"/>
      <c r="B2" s="103" t="s">
        <v>550</v>
      </c>
      <c r="C2" s="101"/>
      <c r="D2" s="101"/>
      <c r="E2" s="101"/>
      <c r="F2" s="102"/>
    </row>
    <row r="3">
      <c r="A3" s="101"/>
      <c r="B3" s="104" t="s">
        <v>551</v>
      </c>
      <c r="C3" s="105">
        <v>0.0</v>
      </c>
      <c r="D3" s="101"/>
      <c r="E3" s="101"/>
      <c r="F3" s="102"/>
    </row>
    <row r="4">
      <c r="A4" s="101"/>
      <c r="B4" s="104" t="s">
        <v>552</v>
      </c>
      <c r="C4" s="106">
        <v>0.03</v>
      </c>
      <c r="D4" s="101"/>
      <c r="E4" s="101"/>
      <c r="F4" s="102"/>
    </row>
    <row r="5">
      <c r="A5" s="101"/>
      <c r="B5" s="103"/>
      <c r="C5" s="101"/>
      <c r="D5" s="101"/>
      <c r="E5" s="101"/>
      <c r="F5" s="102"/>
    </row>
    <row r="6">
      <c r="A6" s="101"/>
      <c r="B6" s="103" t="s">
        <v>553</v>
      </c>
      <c r="C6" s="101"/>
      <c r="D6" s="101"/>
      <c r="E6" s="101"/>
      <c r="F6" s="102"/>
    </row>
    <row r="7">
      <c r="A7" s="101"/>
      <c r="B7" s="104" t="s">
        <v>551</v>
      </c>
      <c r="C7" s="105">
        <v>0.0</v>
      </c>
      <c r="D7" s="101"/>
      <c r="E7" s="101"/>
      <c r="F7" s="102"/>
    </row>
    <row r="8">
      <c r="A8" s="101"/>
      <c r="B8" s="104" t="s">
        <v>554</v>
      </c>
      <c r="C8" s="106">
        <v>0.02</v>
      </c>
      <c r="D8" s="101"/>
      <c r="E8" s="101"/>
      <c r="F8" s="102"/>
    </row>
    <row r="9">
      <c r="A9" s="101"/>
      <c r="B9" s="104" t="s">
        <v>555</v>
      </c>
      <c r="C9" s="106">
        <v>0.045</v>
      </c>
      <c r="D9" s="101"/>
      <c r="E9" s="101"/>
      <c r="F9" s="102"/>
    </row>
    <row r="10">
      <c r="A10" s="101"/>
      <c r="B10" s="104" t="s">
        <v>48</v>
      </c>
      <c r="C10" s="106">
        <v>0.065</v>
      </c>
      <c r="D10" s="101"/>
      <c r="E10" s="101"/>
      <c r="F10" s="102"/>
    </row>
    <row r="11">
      <c r="A11" s="101"/>
      <c r="B11" s="101"/>
      <c r="C11" s="101"/>
      <c r="D11" s="101"/>
      <c r="E11" s="101"/>
      <c r="F11" s="102"/>
    </row>
    <row r="12">
      <c r="A12" s="101"/>
      <c r="B12" s="103" t="s">
        <v>556</v>
      </c>
      <c r="C12" s="101"/>
      <c r="D12" s="101"/>
      <c r="E12" s="101"/>
      <c r="F12" s="102"/>
    </row>
    <row r="13">
      <c r="A13" s="101"/>
      <c r="B13" s="107" t="s">
        <v>557</v>
      </c>
      <c r="C13" s="107" t="s">
        <v>558</v>
      </c>
      <c r="D13" s="107" t="s">
        <v>559</v>
      </c>
      <c r="F13" s="102"/>
    </row>
    <row r="14">
      <c r="A14" s="101"/>
      <c r="B14" s="108" t="s">
        <v>560</v>
      </c>
      <c r="C14" s="107" t="s">
        <v>561</v>
      </c>
      <c r="D14" s="109">
        <v>0.01</v>
      </c>
      <c r="F14" s="102"/>
    </row>
    <row r="15">
      <c r="A15" s="101"/>
      <c r="B15" s="94"/>
      <c r="C15" s="107" t="s">
        <v>562</v>
      </c>
      <c r="D15" s="109">
        <v>0.02</v>
      </c>
      <c r="F15" s="102"/>
    </row>
    <row r="16">
      <c r="A16" s="101"/>
      <c r="B16" s="94"/>
      <c r="C16" s="107" t="s">
        <v>563</v>
      </c>
      <c r="D16" s="109">
        <v>0.035</v>
      </c>
      <c r="F16" s="102"/>
    </row>
    <row r="17">
      <c r="A17" s="101"/>
      <c r="B17" s="94"/>
      <c r="C17" s="107" t="s">
        <v>564</v>
      </c>
      <c r="D17" s="109">
        <v>0.055</v>
      </c>
      <c r="F17" s="102"/>
    </row>
    <row r="18">
      <c r="A18" s="101"/>
      <c r="B18" s="94"/>
      <c r="C18" s="107" t="s">
        <v>565</v>
      </c>
      <c r="D18" s="109">
        <v>0.06</v>
      </c>
      <c r="F18" s="102"/>
    </row>
    <row r="19">
      <c r="A19" s="101"/>
      <c r="B19" s="94"/>
      <c r="C19" s="107" t="s">
        <v>566</v>
      </c>
      <c r="D19" s="109">
        <v>0.065</v>
      </c>
      <c r="F19" s="102"/>
    </row>
    <row r="20">
      <c r="A20" s="101"/>
      <c r="B20" s="94"/>
      <c r="C20" s="107" t="s">
        <v>567</v>
      </c>
      <c r="D20" s="109">
        <v>0.075</v>
      </c>
      <c r="F20" s="102"/>
    </row>
    <row r="21">
      <c r="A21" s="101"/>
      <c r="B21" s="94"/>
      <c r="C21" s="107" t="s">
        <v>568</v>
      </c>
      <c r="D21" s="109">
        <v>0.08</v>
      </c>
      <c r="F21" s="102"/>
    </row>
    <row r="22">
      <c r="A22" s="101"/>
      <c r="B22" s="94"/>
      <c r="C22" s="107"/>
      <c r="D22" s="107" t="s">
        <v>569</v>
      </c>
      <c r="F22" s="102"/>
    </row>
    <row r="23">
      <c r="A23" s="101"/>
      <c r="B23" s="94"/>
      <c r="C23" s="107"/>
      <c r="D23" s="107" t="s">
        <v>570</v>
      </c>
      <c r="E23" s="110"/>
      <c r="F23" s="102"/>
    </row>
    <row r="24">
      <c r="A24" s="101"/>
      <c r="B24" s="94"/>
      <c r="C24" s="107" t="s">
        <v>571</v>
      </c>
      <c r="D24" s="109">
        <v>0.025</v>
      </c>
      <c r="E24" s="110"/>
      <c r="F24" s="102"/>
    </row>
    <row r="25">
      <c r="A25" s="101"/>
      <c r="B25" s="94"/>
      <c r="C25" s="107" t="s">
        <v>572</v>
      </c>
      <c r="D25" s="109">
        <v>0.035</v>
      </c>
      <c r="E25" s="110"/>
      <c r="F25" s="102"/>
    </row>
    <row r="26">
      <c r="A26" s="101"/>
      <c r="B26" s="94"/>
      <c r="C26" s="107" t="s">
        <v>573</v>
      </c>
      <c r="D26" s="109">
        <v>0.05</v>
      </c>
      <c r="E26" s="110"/>
      <c r="F26" s="102"/>
    </row>
    <row r="27">
      <c r="A27" s="101"/>
      <c r="B27" s="94"/>
      <c r="C27" s="107" t="s">
        <v>574</v>
      </c>
      <c r="D27" s="109">
        <v>0.07</v>
      </c>
      <c r="E27" s="110"/>
      <c r="F27" s="102"/>
    </row>
    <row r="28">
      <c r="A28" s="101"/>
      <c r="B28" s="94"/>
      <c r="C28" s="107" t="s">
        <v>575</v>
      </c>
      <c r="D28" s="109">
        <v>0.075</v>
      </c>
      <c r="E28" s="110"/>
      <c r="F28" s="102"/>
    </row>
    <row r="29">
      <c r="A29" s="101"/>
      <c r="B29" s="94"/>
      <c r="C29" s="107" t="s">
        <v>576</v>
      </c>
      <c r="D29" s="109">
        <v>0.08</v>
      </c>
      <c r="E29" s="110"/>
      <c r="F29" s="102"/>
    </row>
    <row r="30">
      <c r="A30" s="101"/>
      <c r="B30" s="94"/>
      <c r="C30" s="107" t="s">
        <v>577</v>
      </c>
      <c r="D30" s="109">
        <v>0.09</v>
      </c>
      <c r="E30" s="110"/>
      <c r="F30" s="102"/>
    </row>
    <row r="31">
      <c r="A31" s="101"/>
      <c r="B31" s="94"/>
      <c r="C31" s="107" t="s">
        <v>578</v>
      </c>
      <c r="D31" s="109">
        <v>0.095</v>
      </c>
      <c r="E31" s="110"/>
      <c r="F31" s="102"/>
    </row>
    <row r="32">
      <c r="A32" s="101"/>
      <c r="B32" s="95"/>
      <c r="C32" s="107"/>
      <c r="D32" s="107" t="s">
        <v>579</v>
      </c>
      <c r="E32" s="110"/>
      <c r="F32" s="102"/>
    </row>
    <row r="33">
      <c r="A33" s="101"/>
      <c r="B33" s="111"/>
      <c r="C33" s="101"/>
      <c r="D33" s="101"/>
      <c r="E33" s="112"/>
      <c r="F33" s="102"/>
    </row>
    <row r="34">
      <c r="A34" s="101"/>
      <c r="B34" s="101" t="s">
        <v>580</v>
      </c>
      <c r="C34" s="113" t="s">
        <v>55</v>
      </c>
      <c r="D34" s="101"/>
      <c r="E34" s="112"/>
      <c r="F34" s="102"/>
    </row>
    <row r="35">
      <c r="A35" s="101"/>
      <c r="B35" s="101" t="s">
        <v>581</v>
      </c>
      <c r="C35" s="114" t="s">
        <v>57</v>
      </c>
      <c r="D35" s="101"/>
      <c r="E35" s="112"/>
      <c r="F35" s="102"/>
    </row>
    <row r="36">
      <c r="A36" s="101"/>
      <c r="B36" s="101"/>
      <c r="C36" s="101"/>
      <c r="D36" s="101"/>
      <c r="E36" s="112"/>
      <c r="F36" s="102"/>
    </row>
    <row r="37">
      <c r="A37" s="101"/>
      <c r="B37" s="101"/>
      <c r="C37" s="101"/>
      <c r="D37" s="101"/>
      <c r="E37" s="112"/>
      <c r="F37" s="102"/>
    </row>
    <row r="38">
      <c r="A38" s="101"/>
      <c r="B38" s="101"/>
      <c r="C38" s="101"/>
      <c r="D38" s="101"/>
      <c r="E38" s="112"/>
      <c r="F38" s="102"/>
    </row>
    <row r="39">
      <c r="A39" s="101"/>
      <c r="B39" s="101"/>
      <c r="C39" s="101"/>
      <c r="D39" s="101"/>
      <c r="E39" s="112"/>
      <c r="F39" s="102"/>
    </row>
    <row r="40">
      <c r="A40" s="101"/>
      <c r="B40" s="101"/>
      <c r="C40" s="101"/>
      <c r="D40" s="101"/>
      <c r="E40" s="112"/>
      <c r="F40" s="102"/>
    </row>
    <row r="41">
      <c r="A41" s="101"/>
      <c r="B41" s="101"/>
      <c r="C41" s="101"/>
      <c r="D41" s="101"/>
      <c r="E41" s="112"/>
      <c r="F41" s="102"/>
    </row>
    <row r="42">
      <c r="A42" s="101"/>
      <c r="B42" s="101"/>
      <c r="C42" s="101"/>
      <c r="D42" s="101"/>
      <c r="E42" s="112"/>
      <c r="F42" s="102"/>
    </row>
    <row r="43">
      <c r="A43" s="101"/>
      <c r="B43" s="101"/>
      <c r="C43" s="101"/>
      <c r="D43" s="101"/>
      <c r="E43" s="112"/>
      <c r="F43" s="102"/>
    </row>
    <row r="44">
      <c r="A44" s="101"/>
      <c r="B44" s="101"/>
      <c r="C44" s="101"/>
      <c r="D44" s="101"/>
      <c r="E44" s="112"/>
      <c r="F44" s="102"/>
    </row>
    <row r="45">
      <c r="A45" s="101"/>
      <c r="B45" s="101"/>
      <c r="C45" s="101"/>
      <c r="D45" s="101"/>
      <c r="E45" s="112"/>
      <c r="F45" s="102"/>
    </row>
    <row r="46">
      <c r="A46" s="101"/>
      <c r="B46" s="101"/>
      <c r="C46" s="101"/>
      <c r="D46" s="101"/>
      <c r="E46" s="112"/>
      <c r="F46" s="102"/>
    </row>
    <row r="47">
      <c r="A47" s="101"/>
      <c r="B47" s="101"/>
      <c r="C47" s="101"/>
      <c r="D47" s="101"/>
      <c r="E47" s="112"/>
      <c r="F47" s="102"/>
    </row>
    <row r="48">
      <c r="A48" s="101"/>
      <c r="B48" s="101"/>
      <c r="C48" s="101"/>
      <c r="D48" s="101"/>
      <c r="E48" s="112"/>
      <c r="F48" s="102"/>
    </row>
    <row r="49">
      <c r="A49" s="101"/>
      <c r="B49" s="101"/>
      <c r="C49" s="101"/>
      <c r="D49" s="101"/>
      <c r="E49" s="112"/>
      <c r="F49" s="102"/>
    </row>
    <row r="50">
      <c r="A50" s="101"/>
      <c r="B50" s="101"/>
      <c r="C50" s="101"/>
      <c r="D50" s="101"/>
      <c r="E50" s="112"/>
      <c r="F50" s="102"/>
    </row>
    <row r="51">
      <c r="A51" s="101"/>
      <c r="B51" s="101"/>
      <c r="C51" s="101"/>
      <c r="D51" s="101"/>
      <c r="E51" s="112"/>
      <c r="F51" s="102"/>
    </row>
    <row r="52">
      <c r="A52" s="101"/>
      <c r="B52" s="101"/>
      <c r="C52" s="101"/>
      <c r="D52" s="101"/>
      <c r="E52" s="112"/>
      <c r="F52" s="102"/>
    </row>
    <row r="53">
      <c r="A53" s="101"/>
      <c r="B53" s="101"/>
      <c r="C53" s="101"/>
      <c r="D53" s="101"/>
      <c r="E53" s="112"/>
      <c r="F53" s="102"/>
    </row>
    <row r="54">
      <c r="A54" s="101"/>
      <c r="B54" s="101"/>
      <c r="C54" s="101"/>
      <c r="D54" s="101"/>
      <c r="E54" s="112"/>
      <c r="F54" s="102"/>
    </row>
    <row r="55">
      <c r="A55" s="101"/>
      <c r="B55" s="101"/>
      <c r="C55" s="101"/>
      <c r="D55" s="101"/>
      <c r="E55" s="112"/>
      <c r="F55" s="102"/>
    </row>
    <row r="56">
      <c r="A56" s="101"/>
      <c r="B56" s="101"/>
      <c r="C56" s="101"/>
      <c r="D56" s="101"/>
      <c r="E56" s="112"/>
      <c r="F56" s="102"/>
    </row>
    <row r="57">
      <c r="A57" s="101"/>
      <c r="B57" s="101"/>
      <c r="C57" s="101"/>
      <c r="D57" s="101"/>
      <c r="E57" s="112"/>
      <c r="F57" s="102"/>
    </row>
    <row r="58">
      <c r="A58" s="101"/>
      <c r="B58" s="101"/>
      <c r="C58" s="101"/>
      <c r="D58" s="101"/>
      <c r="E58" s="112"/>
      <c r="F58" s="102"/>
    </row>
    <row r="59">
      <c r="A59" s="101"/>
      <c r="B59" s="101"/>
      <c r="C59" s="101"/>
      <c r="D59" s="101"/>
      <c r="E59" s="112"/>
      <c r="F59" s="102"/>
    </row>
    <row r="60">
      <c r="A60" s="101"/>
      <c r="B60" s="101"/>
      <c r="C60" s="101"/>
      <c r="D60" s="101"/>
      <c r="E60" s="112"/>
      <c r="F60" s="102"/>
    </row>
    <row r="61">
      <c r="A61" s="101"/>
      <c r="B61" s="101"/>
      <c r="C61" s="101"/>
      <c r="D61" s="101"/>
      <c r="E61" s="112"/>
      <c r="F61" s="102"/>
    </row>
    <row r="62">
      <c r="A62" s="101"/>
      <c r="B62" s="101"/>
      <c r="C62" s="101"/>
      <c r="D62" s="101"/>
      <c r="E62" s="112"/>
      <c r="F62" s="102"/>
    </row>
    <row r="63">
      <c r="A63" s="101"/>
      <c r="B63" s="101"/>
      <c r="C63" s="101"/>
      <c r="D63" s="101"/>
      <c r="E63" s="112"/>
      <c r="F63" s="102"/>
    </row>
    <row r="64">
      <c r="A64" s="101"/>
      <c r="B64" s="101"/>
      <c r="C64" s="101"/>
      <c r="D64" s="101"/>
      <c r="E64" s="112"/>
      <c r="F64" s="102"/>
    </row>
    <row r="65">
      <c r="A65" s="101"/>
      <c r="B65" s="101"/>
      <c r="C65" s="101"/>
      <c r="D65" s="101"/>
      <c r="E65" s="112"/>
      <c r="F65" s="102"/>
    </row>
    <row r="66">
      <c r="A66" s="101"/>
      <c r="B66" s="101"/>
      <c r="C66" s="101"/>
      <c r="D66" s="101"/>
      <c r="E66" s="112"/>
      <c r="F66" s="102"/>
    </row>
    <row r="67">
      <c r="A67" s="101"/>
      <c r="B67" s="101"/>
      <c r="C67" s="101"/>
      <c r="D67" s="101"/>
      <c r="E67" s="112"/>
      <c r="F67" s="102"/>
    </row>
    <row r="68">
      <c r="A68" s="101"/>
      <c r="B68" s="101"/>
      <c r="C68" s="101"/>
      <c r="D68" s="101"/>
      <c r="E68" s="112"/>
      <c r="F68" s="102"/>
    </row>
    <row r="69">
      <c r="A69" s="101"/>
      <c r="B69" s="101"/>
      <c r="C69" s="101"/>
      <c r="D69" s="101"/>
      <c r="E69" s="112"/>
      <c r="F69" s="102"/>
    </row>
    <row r="70">
      <c r="A70" s="101"/>
      <c r="B70" s="101"/>
      <c r="C70" s="101"/>
      <c r="D70" s="101"/>
      <c r="E70" s="112"/>
      <c r="F70" s="102"/>
    </row>
    <row r="71">
      <c r="A71" s="101"/>
      <c r="B71" s="101"/>
      <c r="C71" s="101"/>
      <c r="D71" s="101"/>
      <c r="E71" s="112"/>
      <c r="F71" s="102"/>
    </row>
    <row r="72">
      <c r="A72" s="101"/>
      <c r="B72" s="101"/>
      <c r="C72" s="101"/>
      <c r="D72" s="101"/>
      <c r="E72" s="112"/>
      <c r="F72" s="102"/>
    </row>
    <row r="73">
      <c r="A73" s="101"/>
      <c r="B73" s="101"/>
      <c r="C73" s="101"/>
      <c r="D73" s="101"/>
      <c r="E73" s="112"/>
      <c r="F73" s="102"/>
    </row>
    <row r="74">
      <c r="A74" s="101"/>
      <c r="B74" s="101"/>
      <c r="C74" s="101"/>
      <c r="D74" s="101"/>
      <c r="E74" s="112"/>
      <c r="F74" s="102"/>
    </row>
    <row r="75">
      <c r="A75" s="101"/>
      <c r="B75" s="101"/>
      <c r="C75" s="101"/>
      <c r="D75" s="101"/>
      <c r="E75" s="112"/>
      <c r="F75" s="102"/>
    </row>
    <row r="76">
      <c r="A76" s="101"/>
      <c r="B76" s="101"/>
      <c r="C76" s="101"/>
      <c r="D76" s="101"/>
      <c r="E76" s="112"/>
      <c r="F76" s="102"/>
    </row>
    <row r="77">
      <c r="A77" s="101"/>
      <c r="B77" s="101"/>
      <c r="C77" s="115"/>
      <c r="D77" s="115"/>
      <c r="E77" s="112"/>
      <c r="F77" s="102"/>
    </row>
    <row r="78">
      <c r="A78" s="101"/>
      <c r="B78" s="101"/>
      <c r="C78" s="101"/>
      <c r="D78" s="101"/>
      <c r="E78" s="112"/>
      <c r="F78" s="102"/>
    </row>
    <row r="79">
      <c r="A79" s="101"/>
      <c r="B79" s="101"/>
      <c r="C79" s="101"/>
      <c r="D79" s="101"/>
      <c r="E79" s="112"/>
      <c r="F79" s="102"/>
    </row>
    <row r="80">
      <c r="A80" s="101"/>
      <c r="B80" s="101"/>
      <c r="C80" s="101"/>
      <c r="D80" s="101"/>
      <c r="E80" s="112"/>
      <c r="F80" s="102"/>
    </row>
    <row r="81">
      <c r="A81" s="101"/>
      <c r="B81" s="101"/>
      <c r="C81" s="101"/>
      <c r="D81" s="101"/>
      <c r="E81" s="112"/>
      <c r="F81" s="102"/>
    </row>
    <row r="82">
      <c r="A82" s="101"/>
      <c r="B82" s="101"/>
      <c r="C82" s="101"/>
      <c r="D82" s="101"/>
      <c r="E82" s="112"/>
      <c r="F82" s="102"/>
    </row>
    <row r="83">
      <c r="A83" s="101"/>
      <c r="B83" s="101"/>
      <c r="C83" s="101"/>
      <c r="D83" s="101"/>
      <c r="E83" s="112"/>
      <c r="F83" s="102"/>
    </row>
    <row r="84">
      <c r="A84" s="101"/>
      <c r="B84" s="101"/>
      <c r="C84" s="101"/>
      <c r="D84" s="101"/>
      <c r="E84" s="112"/>
      <c r="F84" s="102"/>
    </row>
    <row r="85">
      <c r="A85" s="101"/>
      <c r="B85" s="101"/>
      <c r="C85" s="101"/>
      <c r="D85" s="101"/>
      <c r="E85" s="112"/>
      <c r="F85" s="102"/>
    </row>
    <row r="86">
      <c r="A86" s="101"/>
      <c r="B86" s="101"/>
      <c r="C86" s="101"/>
      <c r="D86" s="101"/>
      <c r="E86" s="112"/>
      <c r="F86" s="102"/>
    </row>
    <row r="87">
      <c r="A87" s="101"/>
      <c r="B87" s="101"/>
      <c r="C87" s="101"/>
      <c r="D87" s="101"/>
      <c r="E87" s="112"/>
      <c r="F87" s="102"/>
    </row>
    <row r="88">
      <c r="A88" s="101"/>
      <c r="B88" s="101"/>
      <c r="C88" s="101"/>
      <c r="D88" s="101"/>
      <c r="E88" s="112"/>
      <c r="F88" s="102"/>
    </row>
    <row r="89">
      <c r="A89" s="101"/>
      <c r="B89" s="101"/>
      <c r="C89" s="101"/>
      <c r="D89" s="101"/>
      <c r="E89" s="112"/>
      <c r="F89" s="102"/>
    </row>
    <row r="90">
      <c r="A90" s="101"/>
      <c r="B90" s="101"/>
      <c r="C90" s="101"/>
      <c r="D90" s="101"/>
      <c r="E90" s="112"/>
      <c r="F90" s="102"/>
    </row>
    <row r="91">
      <c r="A91" s="101"/>
      <c r="B91" s="101"/>
      <c r="C91" s="101"/>
      <c r="D91" s="101"/>
      <c r="E91" s="112"/>
      <c r="F91" s="102"/>
    </row>
    <row r="92">
      <c r="A92" s="101"/>
      <c r="B92" s="101"/>
      <c r="C92" s="101"/>
      <c r="D92" s="101"/>
      <c r="E92" s="112"/>
      <c r="F92" s="102"/>
    </row>
    <row r="93">
      <c r="A93" s="101"/>
      <c r="B93" s="101"/>
      <c r="C93" s="101"/>
      <c r="D93" s="101"/>
      <c r="E93" s="112"/>
      <c r="F93" s="102"/>
    </row>
    <row r="94">
      <c r="A94" s="101"/>
      <c r="B94" s="101"/>
      <c r="C94" s="101"/>
      <c r="D94" s="101"/>
      <c r="E94" s="112"/>
      <c r="F94" s="102"/>
    </row>
    <row r="95">
      <c r="A95" s="101"/>
      <c r="B95" s="101"/>
      <c r="C95" s="101"/>
      <c r="D95" s="101"/>
      <c r="E95" s="112"/>
      <c r="F95" s="102"/>
    </row>
    <row r="96">
      <c r="A96" s="101"/>
      <c r="B96" s="101"/>
      <c r="C96" s="101"/>
      <c r="D96" s="101"/>
      <c r="E96" s="112"/>
      <c r="F96" s="102"/>
    </row>
    <row r="97">
      <c r="A97" s="101"/>
      <c r="B97" s="101"/>
      <c r="C97" s="101"/>
      <c r="D97" s="101"/>
      <c r="E97" s="112"/>
      <c r="F97" s="102"/>
    </row>
    <row r="98">
      <c r="A98" s="101"/>
      <c r="B98" s="101"/>
      <c r="C98" s="101"/>
      <c r="D98" s="101"/>
      <c r="E98" s="112"/>
      <c r="F98" s="102"/>
    </row>
    <row r="99">
      <c r="A99" s="101"/>
      <c r="B99" s="101"/>
      <c r="C99" s="101"/>
      <c r="D99" s="101"/>
      <c r="E99" s="112"/>
      <c r="F99" s="102"/>
    </row>
    <row r="100">
      <c r="A100" s="101"/>
      <c r="B100" s="101"/>
      <c r="C100" s="101"/>
      <c r="D100" s="101"/>
      <c r="E100" s="112"/>
      <c r="F100" s="102"/>
    </row>
    <row r="101">
      <c r="A101" s="101"/>
      <c r="B101" s="101"/>
      <c r="C101" s="101"/>
      <c r="D101" s="101"/>
      <c r="E101" s="112"/>
      <c r="F101" s="102"/>
    </row>
    <row r="102">
      <c r="A102" s="101"/>
      <c r="B102" s="101"/>
      <c r="C102" s="101"/>
      <c r="D102" s="101"/>
      <c r="E102" s="112"/>
      <c r="F102" s="102"/>
    </row>
    <row r="103">
      <c r="A103" s="101"/>
      <c r="B103" s="101"/>
      <c r="C103" s="101"/>
      <c r="D103" s="101"/>
      <c r="E103" s="112"/>
      <c r="F103" s="102"/>
    </row>
    <row r="104">
      <c r="A104" s="101"/>
      <c r="B104" s="101"/>
      <c r="C104" s="101"/>
      <c r="D104" s="101"/>
      <c r="E104" s="112"/>
      <c r="F104" s="102"/>
    </row>
    <row r="105">
      <c r="A105" s="101"/>
      <c r="B105" s="101"/>
      <c r="C105" s="101"/>
      <c r="D105" s="101"/>
      <c r="E105" s="112"/>
      <c r="F105" s="102"/>
    </row>
    <row r="106">
      <c r="A106" s="101"/>
      <c r="B106" s="101"/>
      <c r="C106" s="101"/>
      <c r="D106" s="101"/>
      <c r="E106" s="112"/>
      <c r="F106" s="102"/>
    </row>
    <row r="107">
      <c r="A107" s="101"/>
      <c r="B107" s="101"/>
      <c r="C107" s="101"/>
      <c r="D107" s="101"/>
      <c r="E107" s="112"/>
      <c r="F107" s="102"/>
    </row>
    <row r="108">
      <c r="A108" s="101"/>
      <c r="B108" s="101"/>
      <c r="C108" s="101"/>
      <c r="D108" s="101"/>
      <c r="E108" s="112"/>
      <c r="F108" s="102"/>
    </row>
    <row r="109">
      <c r="A109" s="101"/>
      <c r="B109" s="101"/>
      <c r="C109" s="101"/>
      <c r="D109" s="101"/>
      <c r="E109" s="112"/>
      <c r="F109" s="102"/>
    </row>
    <row r="110">
      <c r="A110" s="101"/>
      <c r="B110" s="101"/>
      <c r="C110" s="101"/>
      <c r="D110" s="101"/>
      <c r="E110" s="112"/>
      <c r="F110" s="102"/>
    </row>
    <row r="111">
      <c r="A111" s="101"/>
      <c r="B111" s="101"/>
      <c r="C111" s="101"/>
      <c r="D111" s="101"/>
      <c r="E111" s="112"/>
      <c r="F111" s="102"/>
    </row>
    <row r="112">
      <c r="A112" s="101"/>
      <c r="B112" s="101"/>
      <c r="C112" s="101"/>
      <c r="D112" s="101"/>
      <c r="E112" s="112"/>
      <c r="F112" s="102"/>
    </row>
    <row r="113">
      <c r="A113" s="101"/>
      <c r="B113" s="101"/>
      <c r="C113" s="101"/>
      <c r="D113" s="101"/>
      <c r="E113" s="112"/>
      <c r="F113" s="102"/>
    </row>
    <row r="114">
      <c r="A114" s="101"/>
      <c r="B114" s="101"/>
      <c r="C114" s="101"/>
      <c r="D114" s="101"/>
      <c r="E114" s="112"/>
      <c r="F114" s="102"/>
    </row>
    <row r="115">
      <c r="A115" s="101"/>
      <c r="B115" s="101"/>
      <c r="C115" s="101"/>
      <c r="D115" s="101"/>
      <c r="E115" s="112"/>
      <c r="F115" s="102"/>
    </row>
    <row r="116">
      <c r="A116" s="101"/>
      <c r="B116" s="101"/>
      <c r="C116" s="101"/>
      <c r="D116" s="101"/>
      <c r="E116" s="112"/>
      <c r="F116" s="102"/>
    </row>
    <row r="117">
      <c r="A117" s="101"/>
      <c r="B117" s="101"/>
      <c r="C117" s="101"/>
      <c r="D117" s="101"/>
      <c r="E117" s="112"/>
      <c r="F117" s="102"/>
    </row>
    <row r="118">
      <c r="A118" s="101"/>
      <c r="B118" s="101"/>
      <c r="C118" s="101"/>
      <c r="D118" s="101"/>
      <c r="E118" s="112"/>
      <c r="F118" s="102"/>
    </row>
    <row r="119">
      <c r="A119" s="101"/>
      <c r="B119" s="101"/>
      <c r="C119" s="101"/>
      <c r="D119" s="101"/>
      <c r="E119" s="112"/>
      <c r="F119" s="102"/>
    </row>
    <row r="120">
      <c r="A120" s="101"/>
      <c r="B120" s="101"/>
      <c r="C120" s="101"/>
      <c r="D120" s="101"/>
      <c r="E120" s="112"/>
      <c r="F120" s="102"/>
    </row>
    <row r="121">
      <c r="A121" s="101"/>
      <c r="B121" s="101"/>
      <c r="C121" s="101"/>
      <c r="D121" s="101"/>
      <c r="E121" s="112"/>
      <c r="F121" s="102"/>
    </row>
    <row r="122">
      <c r="A122" s="101"/>
      <c r="B122" s="101"/>
      <c r="C122" s="101"/>
      <c r="D122" s="101"/>
      <c r="E122" s="112"/>
      <c r="F122" s="102"/>
    </row>
    <row r="123">
      <c r="A123" s="101"/>
      <c r="B123" s="101"/>
      <c r="C123" s="101"/>
      <c r="D123" s="101"/>
      <c r="E123" s="112"/>
      <c r="F123" s="102"/>
    </row>
    <row r="124">
      <c r="A124" s="101"/>
      <c r="B124" s="101"/>
      <c r="C124" s="101"/>
      <c r="D124" s="101"/>
      <c r="E124" s="112"/>
      <c r="F124" s="102"/>
    </row>
    <row r="125">
      <c r="A125" s="101"/>
      <c r="B125" s="101"/>
      <c r="C125" s="101"/>
      <c r="D125" s="101"/>
      <c r="E125" s="112"/>
      <c r="F125" s="102"/>
    </row>
    <row r="126">
      <c r="A126" s="101"/>
      <c r="B126" s="101"/>
      <c r="C126" s="101"/>
      <c r="D126" s="101"/>
      <c r="E126" s="112"/>
      <c r="F126" s="102"/>
    </row>
    <row r="127">
      <c r="A127" s="101"/>
      <c r="B127" s="101"/>
      <c r="C127" s="101"/>
      <c r="D127" s="101"/>
      <c r="E127" s="112"/>
      <c r="F127" s="102"/>
    </row>
    <row r="128">
      <c r="A128" s="101"/>
      <c r="B128" s="101"/>
      <c r="C128" s="101"/>
      <c r="D128" s="101"/>
      <c r="E128" s="112"/>
      <c r="F128" s="102"/>
    </row>
    <row r="129">
      <c r="A129" s="101"/>
      <c r="B129" s="101"/>
      <c r="C129" s="101"/>
      <c r="D129" s="101"/>
      <c r="E129" s="112"/>
      <c r="F129" s="102"/>
    </row>
    <row r="130">
      <c r="A130" s="101"/>
      <c r="B130" s="101"/>
      <c r="C130" s="101"/>
      <c r="D130" s="101"/>
      <c r="E130" s="112"/>
      <c r="F130" s="102"/>
    </row>
    <row r="131">
      <c r="A131" s="101"/>
      <c r="B131" s="101"/>
      <c r="C131" s="101"/>
      <c r="D131" s="101"/>
      <c r="E131" s="112"/>
      <c r="F131" s="102"/>
    </row>
    <row r="132">
      <c r="A132" s="101"/>
      <c r="B132" s="101"/>
      <c r="C132" s="101"/>
      <c r="D132" s="101"/>
      <c r="E132" s="112"/>
      <c r="F132" s="102"/>
    </row>
    <row r="133">
      <c r="A133" s="101"/>
      <c r="B133" s="101"/>
      <c r="C133" s="101"/>
      <c r="D133" s="101"/>
      <c r="E133" s="112"/>
      <c r="F133" s="102"/>
    </row>
    <row r="134">
      <c r="A134" s="101"/>
      <c r="B134" s="101"/>
      <c r="C134" s="101"/>
      <c r="D134" s="101"/>
      <c r="E134" s="112"/>
      <c r="F134" s="102"/>
    </row>
    <row r="135">
      <c r="A135" s="101"/>
      <c r="B135" s="101"/>
      <c r="C135" s="101"/>
      <c r="D135" s="101"/>
      <c r="E135" s="112"/>
      <c r="F135" s="102"/>
    </row>
    <row r="136">
      <c r="A136" s="101"/>
      <c r="B136" s="101"/>
      <c r="C136" s="101"/>
      <c r="D136" s="101"/>
      <c r="E136" s="112"/>
      <c r="F136" s="102"/>
    </row>
    <row r="137">
      <c r="A137" s="101"/>
      <c r="B137" s="101"/>
      <c r="C137" s="101"/>
      <c r="D137" s="101"/>
      <c r="E137" s="112"/>
      <c r="F137" s="102"/>
    </row>
    <row r="138">
      <c r="A138" s="101"/>
      <c r="B138" s="101"/>
      <c r="C138" s="101"/>
      <c r="D138" s="101"/>
      <c r="E138" s="112"/>
      <c r="F138" s="102"/>
    </row>
    <row r="139">
      <c r="A139" s="101"/>
      <c r="B139" s="101"/>
      <c r="C139" s="101"/>
      <c r="D139" s="101"/>
      <c r="E139" s="112"/>
      <c r="F139" s="102"/>
    </row>
    <row r="140">
      <c r="A140" s="101"/>
      <c r="B140" s="101"/>
      <c r="C140" s="101"/>
      <c r="D140" s="101"/>
      <c r="E140" s="112"/>
      <c r="F140" s="102"/>
    </row>
    <row r="141">
      <c r="A141" s="101"/>
      <c r="B141" s="101"/>
      <c r="C141" s="101"/>
      <c r="D141" s="101"/>
      <c r="E141" s="112"/>
      <c r="F141" s="102"/>
    </row>
    <row r="142">
      <c r="A142" s="101"/>
      <c r="B142" s="101"/>
      <c r="C142" s="101"/>
      <c r="D142" s="101"/>
      <c r="E142" s="112"/>
      <c r="F142" s="102"/>
    </row>
    <row r="143">
      <c r="A143" s="101"/>
      <c r="B143" s="101"/>
      <c r="C143" s="101"/>
      <c r="D143" s="101"/>
      <c r="E143" s="112"/>
      <c r="F143" s="102"/>
    </row>
    <row r="144">
      <c r="A144" s="101"/>
      <c r="B144" s="101"/>
      <c r="C144" s="101"/>
      <c r="D144" s="101"/>
      <c r="E144" s="112"/>
      <c r="F144" s="102"/>
    </row>
    <row r="145">
      <c r="A145" s="101"/>
      <c r="B145" s="101"/>
      <c r="C145" s="101"/>
      <c r="D145" s="101"/>
      <c r="E145" s="112"/>
      <c r="F145" s="102"/>
    </row>
    <row r="146">
      <c r="A146" s="101"/>
      <c r="B146" s="101"/>
      <c r="C146" s="101"/>
      <c r="D146" s="101"/>
      <c r="E146" s="112"/>
      <c r="F146" s="102"/>
    </row>
    <row r="147">
      <c r="A147" s="101"/>
      <c r="B147" s="101"/>
      <c r="C147" s="101"/>
      <c r="D147" s="101"/>
      <c r="E147" s="112"/>
      <c r="F147" s="102"/>
    </row>
    <row r="148">
      <c r="A148" s="101"/>
      <c r="B148" s="101"/>
      <c r="C148" s="101"/>
      <c r="D148" s="101"/>
      <c r="E148" s="112"/>
      <c r="F148" s="102"/>
    </row>
    <row r="149">
      <c r="A149" s="101"/>
      <c r="B149" s="101"/>
      <c r="C149" s="101"/>
      <c r="D149" s="101"/>
      <c r="E149" s="112"/>
      <c r="F149" s="102"/>
    </row>
    <row r="150">
      <c r="A150" s="101"/>
      <c r="B150" s="101"/>
      <c r="C150" s="101"/>
      <c r="D150" s="101"/>
      <c r="E150" s="112"/>
      <c r="F150" s="102"/>
    </row>
    <row r="151">
      <c r="A151" s="101"/>
      <c r="B151" s="101"/>
      <c r="C151" s="101"/>
      <c r="D151" s="101"/>
      <c r="E151" s="112"/>
      <c r="F151" s="102"/>
    </row>
    <row r="152">
      <c r="A152" s="101"/>
      <c r="B152" s="101"/>
      <c r="C152" s="101"/>
      <c r="D152" s="101"/>
      <c r="E152" s="112"/>
      <c r="F152" s="102"/>
    </row>
    <row r="153">
      <c r="A153" s="101"/>
      <c r="B153" s="101"/>
      <c r="C153" s="101"/>
      <c r="D153" s="101"/>
      <c r="E153" s="112"/>
      <c r="F153" s="102"/>
    </row>
    <row r="154">
      <c r="A154" s="101"/>
      <c r="B154" s="101"/>
      <c r="C154" s="101"/>
      <c r="D154" s="101"/>
      <c r="E154" s="112"/>
      <c r="F154" s="102"/>
    </row>
    <row r="155">
      <c r="A155" s="101"/>
      <c r="B155" s="101"/>
      <c r="C155" s="101"/>
      <c r="D155" s="101"/>
      <c r="E155" s="112"/>
      <c r="F155" s="102"/>
    </row>
    <row r="156">
      <c r="A156" s="101"/>
      <c r="B156" s="101"/>
      <c r="C156" s="101"/>
      <c r="D156" s="101"/>
      <c r="E156" s="112"/>
      <c r="F156" s="102"/>
    </row>
    <row r="157">
      <c r="A157" s="101"/>
      <c r="B157" s="101"/>
      <c r="C157" s="101"/>
      <c r="D157" s="101"/>
      <c r="E157" s="112"/>
      <c r="F157" s="102"/>
    </row>
    <row r="158">
      <c r="A158" s="101"/>
      <c r="B158" s="101"/>
      <c r="C158" s="101"/>
      <c r="D158" s="101"/>
      <c r="E158" s="112"/>
      <c r="F158" s="102"/>
    </row>
    <row r="159">
      <c r="A159" s="101"/>
      <c r="B159" s="101"/>
      <c r="C159" s="101"/>
      <c r="D159" s="101"/>
      <c r="E159" s="112"/>
      <c r="F159" s="102"/>
    </row>
    <row r="160">
      <c r="A160" s="101"/>
      <c r="B160" s="101"/>
      <c r="C160" s="101"/>
      <c r="D160" s="101"/>
      <c r="E160" s="112"/>
      <c r="F160" s="102"/>
    </row>
    <row r="161">
      <c r="A161" s="101"/>
      <c r="B161" s="101"/>
      <c r="C161" s="101"/>
      <c r="D161" s="101"/>
      <c r="E161" s="112"/>
      <c r="F161" s="102"/>
    </row>
    <row r="162">
      <c r="A162" s="101"/>
      <c r="B162" s="101"/>
      <c r="C162" s="101"/>
      <c r="D162" s="101"/>
      <c r="E162" s="112"/>
      <c r="F162" s="102"/>
    </row>
    <row r="163">
      <c r="A163" s="101"/>
      <c r="B163" s="101"/>
      <c r="C163" s="101"/>
      <c r="D163" s="101"/>
      <c r="E163" s="112"/>
      <c r="F163" s="102"/>
    </row>
    <row r="164">
      <c r="A164" s="101"/>
      <c r="B164" s="101"/>
      <c r="C164" s="101"/>
      <c r="D164" s="101"/>
      <c r="E164" s="112"/>
      <c r="F164" s="102"/>
    </row>
    <row r="165">
      <c r="A165" s="101"/>
      <c r="B165" s="101"/>
      <c r="C165" s="101"/>
      <c r="D165" s="101"/>
      <c r="E165" s="112"/>
      <c r="F165" s="102"/>
    </row>
    <row r="166">
      <c r="A166" s="101"/>
      <c r="B166" s="101"/>
      <c r="C166" s="101"/>
      <c r="D166" s="101"/>
      <c r="E166" s="112"/>
      <c r="F166" s="102"/>
    </row>
    <row r="167">
      <c r="A167" s="101"/>
      <c r="B167" s="101"/>
      <c r="C167" s="101"/>
      <c r="D167" s="101"/>
      <c r="E167" s="112"/>
      <c r="F167" s="102"/>
    </row>
    <row r="168">
      <c r="A168" s="101"/>
      <c r="B168" s="101"/>
      <c r="C168" s="101"/>
      <c r="D168" s="101"/>
      <c r="E168" s="112"/>
      <c r="F168" s="102"/>
    </row>
    <row r="169">
      <c r="A169" s="101"/>
      <c r="B169" s="101"/>
      <c r="C169" s="101"/>
      <c r="D169" s="101"/>
      <c r="E169" s="112"/>
      <c r="F169" s="102"/>
    </row>
    <row r="170">
      <c r="A170" s="101"/>
      <c r="B170" s="101"/>
      <c r="C170" s="101"/>
      <c r="D170" s="101"/>
      <c r="E170" s="112"/>
      <c r="F170" s="102"/>
    </row>
    <row r="171">
      <c r="A171" s="101"/>
      <c r="B171" s="101"/>
      <c r="C171" s="101"/>
      <c r="D171" s="101"/>
      <c r="E171" s="112"/>
      <c r="F171" s="102"/>
    </row>
    <row r="172">
      <c r="A172" s="101"/>
      <c r="B172" s="101"/>
      <c r="C172" s="101"/>
      <c r="D172" s="101"/>
      <c r="E172" s="112"/>
      <c r="F172" s="102"/>
    </row>
    <row r="173">
      <c r="A173" s="101"/>
      <c r="B173" s="101"/>
      <c r="C173" s="101"/>
      <c r="D173" s="101"/>
      <c r="E173" s="112"/>
      <c r="F173" s="102"/>
    </row>
    <row r="174">
      <c r="A174" s="101"/>
      <c r="B174" s="101"/>
      <c r="C174" s="101"/>
      <c r="D174" s="101"/>
      <c r="E174" s="112"/>
      <c r="F174" s="102"/>
    </row>
    <row r="175">
      <c r="A175" s="101"/>
      <c r="B175" s="101"/>
      <c r="C175" s="101"/>
      <c r="D175" s="101"/>
      <c r="E175" s="112"/>
      <c r="F175" s="102"/>
    </row>
    <row r="176">
      <c r="A176" s="101"/>
      <c r="B176" s="101"/>
      <c r="C176" s="101"/>
      <c r="D176" s="101"/>
      <c r="E176" s="112"/>
      <c r="F176" s="102"/>
    </row>
    <row r="177">
      <c r="A177" s="101"/>
      <c r="B177" s="101"/>
      <c r="C177" s="101"/>
      <c r="D177" s="101"/>
      <c r="E177" s="112"/>
      <c r="F177" s="102"/>
    </row>
    <row r="178">
      <c r="A178" s="101"/>
      <c r="B178" s="101"/>
      <c r="C178" s="101"/>
      <c r="D178" s="101"/>
      <c r="E178" s="112"/>
      <c r="F178" s="102"/>
    </row>
    <row r="179">
      <c r="A179" s="101"/>
      <c r="B179" s="101"/>
      <c r="C179" s="101"/>
      <c r="D179" s="101"/>
      <c r="E179" s="112"/>
      <c r="F179" s="102"/>
    </row>
    <row r="180">
      <c r="A180" s="101"/>
      <c r="B180" s="101"/>
      <c r="C180" s="101"/>
      <c r="D180" s="101"/>
      <c r="E180" s="112"/>
      <c r="F180" s="102"/>
    </row>
    <row r="181">
      <c r="A181" s="101"/>
      <c r="B181" s="101"/>
      <c r="C181" s="101"/>
      <c r="D181" s="101"/>
      <c r="E181" s="112"/>
      <c r="F181" s="102"/>
    </row>
    <row r="182">
      <c r="A182" s="101"/>
      <c r="B182" s="101"/>
      <c r="C182" s="101"/>
      <c r="D182" s="101"/>
      <c r="E182" s="112"/>
      <c r="F182" s="102"/>
    </row>
    <row r="183">
      <c r="A183" s="101"/>
      <c r="B183" s="101"/>
      <c r="C183" s="101"/>
      <c r="D183" s="101"/>
      <c r="E183" s="112"/>
      <c r="F183" s="102"/>
    </row>
    <row r="184">
      <c r="A184" s="101"/>
      <c r="B184" s="101"/>
      <c r="C184" s="101"/>
      <c r="D184" s="101"/>
      <c r="E184" s="112"/>
      <c r="F184" s="102"/>
    </row>
    <row r="185">
      <c r="A185" s="101"/>
      <c r="B185" s="101"/>
      <c r="C185" s="101"/>
      <c r="D185" s="101"/>
      <c r="E185" s="112"/>
      <c r="F185" s="102"/>
    </row>
    <row r="186">
      <c r="A186" s="101"/>
      <c r="B186" s="101"/>
      <c r="C186" s="101"/>
      <c r="D186" s="101"/>
      <c r="E186" s="112"/>
      <c r="F186" s="102"/>
    </row>
    <row r="187">
      <c r="A187" s="101"/>
      <c r="B187" s="101"/>
      <c r="C187" s="101"/>
      <c r="D187" s="101"/>
      <c r="E187" s="112"/>
      <c r="F187" s="102"/>
    </row>
    <row r="188">
      <c r="A188" s="101"/>
      <c r="B188" s="101"/>
      <c r="C188" s="101"/>
      <c r="D188" s="101"/>
      <c r="E188" s="112"/>
      <c r="F188" s="102"/>
    </row>
    <row r="189">
      <c r="A189" s="101"/>
      <c r="B189" s="101"/>
      <c r="C189" s="101"/>
      <c r="D189" s="101"/>
      <c r="E189" s="112"/>
      <c r="F189" s="102"/>
    </row>
    <row r="190">
      <c r="A190" s="101"/>
      <c r="B190" s="101"/>
      <c r="C190" s="101"/>
      <c r="D190" s="101"/>
      <c r="E190" s="112"/>
      <c r="F190" s="102"/>
    </row>
    <row r="191">
      <c r="A191" s="101"/>
      <c r="B191" s="101"/>
      <c r="C191" s="101"/>
      <c r="D191" s="101"/>
      <c r="E191" s="112"/>
      <c r="F191" s="102"/>
    </row>
    <row r="192">
      <c r="A192" s="101"/>
      <c r="B192" s="101"/>
      <c r="C192" s="101"/>
      <c r="D192" s="101"/>
      <c r="E192" s="112"/>
      <c r="F192" s="102"/>
    </row>
    <row r="193">
      <c r="A193" s="101"/>
      <c r="B193" s="101"/>
      <c r="C193" s="101"/>
      <c r="D193" s="101"/>
      <c r="E193" s="112"/>
      <c r="F193" s="102"/>
    </row>
    <row r="194">
      <c r="A194" s="101"/>
      <c r="B194" s="101"/>
      <c r="C194" s="101"/>
      <c r="D194" s="101"/>
      <c r="E194" s="112"/>
      <c r="F194" s="102"/>
    </row>
    <row r="195">
      <c r="A195" s="101"/>
      <c r="B195" s="101"/>
      <c r="C195" s="101"/>
      <c r="D195" s="101"/>
      <c r="E195" s="112"/>
      <c r="F195" s="102"/>
    </row>
    <row r="196">
      <c r="A196" s="101"/>
      <c r="B196" s="101"/>
      <c r="C196" s="101"/>
      <c r="D196" s="101"/>
      <c r="E196" s="112"/>
      <c r="F196" s="102"/>
    </row>
    <row r="197">
      <c r="A197" s="101"/>
      <c r="B197" s="101"/>
      <c r="C197" s="101"/>
      <c r="D197" s="101"/>
      <c r="E197" s="112"/>
      <c r="F197" s="102"/>
    </row>
    <row r="198">
      <c r="A198" s="101"/>
      <c r="B198" s="101"/>
      <c r="C198" s="101"/>
      <c r="D198" s="101"/>
      <c r="E198" s="112"/>
      <c r="F198" s="102"/>
    </row>
    <row r="199">
      <c r="A199" s="101"/>
      <c r="B199" s="101"/>
      <c r="C199" s="101"/>
      <c r="D199" s="101"/>
      <c r="E199" s="112"/>
      <c r="F199" s="102"/>
    </row>
    <row r="200">
      <c r="A200" s="101"/>
      <c r="B200" s="101"/>
      <c r="C200" s="101"/>
      <c r="D200" s="101"/>
      <c r="E200" s="112"/>
      <c r="F200" s="102"/>
    </row>
    <row r="201">
      <c r="A201" s="101"/>
      <c r="B201" s="101"/>
      <c r="C201" s="101"/>
      <c r="D201" s="101"/>
      <c r="E201" s="112"/>
      <c r="F201" s="102"/>
    </row>
    <row r="202">
      <c r="A202" s="101"/>
      <c r="B202" s="101"/>
      <c r="C202" s="101"/>
      <c r="D202" s="101"/>
      <c r="E202" s="112"/>
      <c r="F202" s="102"/>
    </row>
    <row r="203">
      <c r="A203" s="101"/>
      <c r="B203" s="101"/>
      <c r="C203" s="101"/>
      <c r="D203" s="101"/>
      <c r="E203" s="112"/>
      <c r="F203" s="102"/>
    </row>
    <row r="204">
      <c r="A204" s="101"/>
      <c r="B204" s="101"/>
      <c r="C204" s="101"/>
      <c r="D204" s="101"/>
      <c r="E204" s="112"/>
      <c r="F204" s="102"/>
    </row>
    <row r="205">
      <c r="A205" s="101"/>
      <c r="B205" s="101"/>
      <c r="C205" s="101"/>
      <c r="D205" s="101"/>
      <c r="E205" s="112"/>
      <c r="F205" s="102"/>
    </row>
    <row r="206">
      <c r="A206" s="101"/>
      <c r="B206" s="101"/>
      <c r="C206" s="101"/>
      <c r="D206" s="101"/>
      <c r="E206" s="112"/>
      <c r="F206" s="102"/>
    </row>
    <row r="207">
      <c r="A207" s="101"/>
      <c r="B207" s="101"/>
      <c r="C207" s="101"/>
      <c r="D207" s="101"/>
      <c r="E207" s="112"/>
      <c r="F207" s="102"/>
    </row>
    <row r="208">
      <c r="A208" s="101"/>
      <c r="B208" s="101"/>
      <c r="C208" s="101"/>
      <c r="D208" s="101"/>
      <c r="E208" s="112"/>
      <c r="F208" s="102"/>
    </row>
    <row r="209">
      <c r="A209" s="101"/>
      <c r="B209" s="101"/>
      <c r="C209" s="101"/>
      <c r="D209" s="101"/>
      <c r="E209" s="112"/>
      <c r="F209" s="102"/>
    </row>
    <row r="210">
      <c r="A210" s="101"/>
      <c r="B210" s="101"/>
      <c r="C210" s="101"/>
      <c r="D210" s="101"/>
      <c r="E210" s="112"/>
      <c r="F210" s="102"/>
    </row>
    <row r="211">
      <c r="A211" s="101"/>
      <c r="B211" s="101"/>
      <c r="C211" s="101"/>
      <c r="D211" s="101"/>
      <c r="E211" s="112"/>
      <c r="F211" s="102"/>
    </row>
    <row r="212">
      <c r="A212" s="101"/>
      <c r="B212" s="101"/>
      <c r="C212" s="101"/>
      <c r="D212" s="101"/>
      <c r="E212" s="112"/>
      <c r="F212" s="102"/>
    </row>
    <row r="213">
      <c r="A213" s="101"/>
      <c r="B213" s="101"/>
      <c r="C213" s="101"/>
      <c r="D213" s="101"/>
      <c r="E213" s="112"/>
      <c r="F213" s="102"/>
    </row>
    <row r="214">
      <c r="A214" s="101"/>
      <c r="B214" s="101"/>
      <c r="C214" s="101"/>
      <c r="D214" s="101"/>
      <c r="E214" s="112"/>
      <c r="F214" s="102"/>
    </row>
    <row r="215">
      <c r="A215" s="101"/>
      <c r="B215" s="101"/>
      <c r="C215" s="101"/>
      <c r="D215" s="101"/>
      <c r="E215" s="112"/>
      <c r="F215" s="102"/>
    </row>
    <row r="216">
      <c r="A216" s="101"/>
      <c r="B216" s="101"/>
      <c r="C216" s="101"/>
      <c r="D216" s="101"/>
      <c r="E216" s="112"/>
      <c r="F216" s="102"/>
    </row>
    <row r="217">
      <c r="A217" s="101"/>
      <c r="B217" s="101"/>
      <c r="C217" s="101"/>
      <c r="D217" s="101"/>
      <c r="E217" s="112"/>
      <c r="F217" s="102"/>
    </row>
    <row r="218">
      <c r="A218" s="101"/>
      <c r="B218" s="101"/>
      <c r="C218" s="101"/>
      <c r="D218" s="101"/>
      <c r="E218" s="112"/>
      <c r="F218" s="102"/>
    </row>
    <row r="219">
      <c r="A219" s="101"/>
      <c r="B219" s="101"/>
      <c r="C219" s="101"/>
      <c r="D219" s="101"/>
      <c r="E219" s="112"/>
      <c r="F219" s="102"/>
    </row>
    <row r="220">
      <c r="A220" s="101"/>
      <c r="B220" s="101"/>
      <c r="C220" s="101"/>
      <c r="D220" s="101"/>
      <c r="E220" s="112"/>
      <c r="F220" s="102"/>
    </row>
    <row r="221">
      <c r="A221" s="101"/>
      <c r="B221" s="101"/>
      <c r="C221" s="101"/>
      <c r="D221" s="101"/>
      <c r="E221" s="112"/>
      <c r="F221" s="102"/>
    </row>
    <row r="222">
      <c r="A222" s="101"/>
      <c r="B222" s="101"/>
      <c r="C222" s="101"/>
      <c r="D222" s="101"/>
      <c r="E222" s="112"/>
      <c r="F222" s="102"/>
    </row>
    <row r="223">
      <c r="A223" s="101"/>
      <c r="B223" s="101"/>
      <c r="C223" s="101"/>
      <c r="D223" s="101"/>
      <c r="E223" s="112"/>
      <c r="F223" s="102"/>
    </row>
    <row r="224">
      <c r="A224" s="101"/>
      <c r="B224" s="101"/>
      <c r="C224" s="101"/>
      <c r="D224" s="101"/>
      <c r="E224" s="112"/>
      <c r="F224" s="102"/>
    </row>
    <row r="225">
      <c r="A225" s="101"/>
      <c r="B225" s="101"/>
      <c r="C225" s="101"/>
      <c r="D225" s="101"/>
      <c r="E225" s="112"/>
      <c r="F225" s="102"/>
    </row>
    <row r="226">
      <c r="A226" s="101"/>
      <c r="B226" s="101"/>
      <c r="C226" s="101"/>
      <c r="D226" s="101"/>
      <c r="E226" s="112"/>
      <c r="F226" s="102"/>
    </row>
    <row r="227">
      <c r="A227" s="101"/>
      <c r="B227" s="101"/>
      <c r="C227" s="101"/>
      <c r="D227" s="101"/>
      <c r="E227" s="112"/>
      <c r="F227" s="102"/>
    </row>
    <row r="228">
      <c r="A228" s="101"/>
      <c r="B228" s="101"/>
      <c r="C228" s="101"/>
      <c r="D228" s="101"/>
      <c r="E228" s="112"/>
      <c r="F228" s="102"/>
    </row>
    <row r="229">
      <c r="A229" s="101"/>
      <c r="B229" s="101"/>
      <c r="C229" s="101"/>
      <c r="D229" s="101"/>
      <c r="E229" s="112"/>
      <c r="F229" s="102"/>
    </row>
    <row r="230">
      <c r="A230" s="101"/>
      <c r="B230" s="101"/>
      <c r="C230" s="101"/>
      <c r="D230" s="101"/>
      <c r="E230" s="112"/>
      <c r="F230" s="102"/>
    </row>
    <row r="231">
      <c r="A231" s="101"/>
      <c r="B231" s="101"/>
      <c r="C231" s="101"/>
      <c r="D231" s="101"/>
      <c r="E231" s="112"/>
      <c r="F231" s="102"/>
    </row>
    <row r="232">
      <c r="A232" s="101"/>
      <c r="B232" s="101"/>
      <c r="C232" s="101"/>
      <c r="D232" s="101"/>
      <c r="E232" s="112"/>
      <c r="F232" s="102"/>
    </row>
    <row r="233">
      <c r="A233" s="101"/>
      <c r="B233" s="101"/>
      <c r="C233" s="101"/>
      <c r="D233" s="101"/>
      <c r="E233" s="112"/>
      <c r="F233" s="102"/>
    </row>
    <row r="234">
      <c r="A234" s="101"/>
      <c r="B234" s="101"/>
      <c r="C234" s="101"/>
      <c r="D234" s="101"/>
      <c r="E234" s="112"/>
      <c r="F234" s="102"/>
    </row>
    <row r="235">
      <c r="A235" s="101"/>
      <c r="B235" s="101"/>
      <c r="C235" s="101"/>
      <c r="D235" s="101"/>
      <c r="E235" s="112"/>
      <c r="F235" s="102"/>
    </row>
    <row r="236">
      <c r="A236" s="101"/>
      <c r="B236" s="101"/>
      <c r="C236" s="101"/>
      <c r="D236" s="101"/>
      <c r="E236" s="112"/>
      <c r="F236" s="102"/>
    </row>
    <row r="237">
      <c r="A237" s="101"/>
      <c r="B237" s="101"/>
      <c r="C237" s="101"/>
      <c r="D237" s="101"/>
      <c r="E237" s="112"/>
      <c r="F237" s="102"/>
    </row>
    <row r="238">
      <c r="A238" s="101"/>
      <c r="B238" s="101"/>
      <c r="C238" s="101"/>
      <c r="D238" s="101"/>
      <c r="E238" s="112"/>
      <c r="F238" s="102"/>
    </row>
    <row r="239">
      <c r="A239" s="101"/>
      <c r="B239" s="101"/>
      <c r="C239" s="101"/>
      <c r="D239" s="101"/>
      <c r="E239" s="112"/>
      <c r="F239" s="102"/>
    </row>
    <row r="240">
      <c r="A240" s="101"/>
      <c r="B240" s="101"/>
      <c r="C240" s="101"/>
      <c r="D240" s="101"/>
      <c r="E240" s="112"/>
      <c r="F240" s="102"/>
    </row>
    <row r="241">
      <c r="A241" s="101"/>
      <c r="B241" s="101"/>
      <c r="C241" s="101"/>
      <c r="D241" s="101"/>
      <c r="E241" s="112"/>
      <c r="F241" s="102"/>
    </row>
    <row r="242">
      <c r="A242" s="101"/>
      <c r="B242" s="101"/>
      <c r="C242" s="101"/>
      <c r="D242" s="101"/>
      <c r="E242" s="112"/>
      <c r="F242" s="102"/>
    </row>
    <row r="243">
      <c r="A243" s="101"/>
      <c r="B243" s="101"/>
      <c r="C243" s="101"/>
      <c r="D243" s="101"/>
      <c r="E243" s="112"/>
      <c r="F243" s="102"/>
    </row>
    <row r="244">
      <c r="A244" s="101"/>
      <c r="B244" s="101"/>
      <c r="C244" s="101"/>
      <c r="D244" s="101"/>
      <c r="E244" s="112"/>
      <c r="F244" s="102"/>
    </row>
    <row r="245">
      <c r="A245" s="101"/>
      <c r="B245" s="101"/>
      <c r="C245" s="101"/>
      <c r="D245" s="101"/>
      <c r="E245" s="112"/>
      <c r="F245" s="102"/>
    </row>
    <row r="246">
      <c r="A246" s="101"/>
      <c r="B246" s="101"/>
      <c r="C246" s="101"/>
      <c r="D246" s="101"/>
      <c r="E246" s="112"/>
      <c r="F246" s="102"/>
    </row>
    <row r="247">
      <c r="A247" s="101"/>
      <c r="B247" s="101"/>
      <c r="C247" s="101"/>
      <c r="D247" s="101"/>
      <c r="E247" s="112"/>
      <c r="F247" s="102"/>
    </row>
    <row r="248">
      <c r="A248" s="101"/>
      <c r="B248" s="101"/>
      <c r="C248" s="101"/>
      <c r="D248" s="101"/>
      <c r="E248" s="112"/>
      <c r="F248" s="102"/>
    </row>
    <row r="249">
      <c r="A249" s="101"/>
      <c r="B249" s="101"/>
      <c r="C249" s="101"/>
      <c r="D249" s="101"/>
      <c r="E249" s="112"/>
      <c r="F249" s="102"/>
    </row>
    <row r="250">
      <c r="A250" s="101"/>
      <c r="B250" s="101"/>
      <c r="C250" s="101"/>
      <c r="D250" s="101"/>
      <c r="E250" s="112"/>
      <c r="F250" s="102"/>
    </row>
    <row r="251">
      <c r="A251" s="101"/>
      <c r="B251" s="101"/>
      <c r="C251" s="101"/>
      <c r="D251" s="101"/>
      <c r="E251" s="112"/>
      <c r="F251" s="102"/>
    </row>
    <row r="252">
      <c r="A252" s="101"/>
      <c r="B252" s="101"/>
      <c r="C252" s="101"/>
      <c r="D252" s="101"/>
      <c r="E252" s="112"/>
      <c r="F252" s="102"/>
    </row>
    <row r="253">
      <c r="A253" s="101"/>
      <c r="B253" s="101"/>
      <c r="C253" s="101"/>
      <c r="D253" s="101"/>
      <c r="E253" s="112"/>
      <c r="F253" s="102"/>
    </row>
    <row r="254">
      <c r="A254" s="101"/>
      <c r="B254" s="101"/>
      <c r="C254" s="101"/>
      <c r="D254" s="101"/>
      <c r="E254" s="112"/>
      <c r="F254" s="102"/>
    </row>
    <row r="255">
      <c r="A255" s="101"/>
      <c r="B255" s="101"/>
      <c r="C255" s="101"/>
      <c r="D255" s="101"/>
      <c r="E255" s="112"/>
      <c r="F255" s="102"/>
    </row>
    <row r="256">
      <c r="A256" s="101"/>
      <c r="B256" s="101"/>
      <c r="C256" s="101"/>
      <c r="D256" s="101"/>
      <c r="E256" s="112"/>
      <c r="F256" s="102"/>
    </row>
    <row r="257">
      <c r="A257" s="101"/>
      <c r="B257" s="101"/>
      <c r="C257" s="101"/>
      <c r="D257" s="101"/>
      <c r="E257" s="112"/>
      <c r="F257" s="102"/>
    </row>
    <row r="258">
      <c r="A258" s="101"/>
      <c r="B258" s="101"/>
      <c r="C258" s="101"/>
      <c r="D258" s="101"/>
      <c r="E258" s="112"/>
      <c r="F258" s="102"/>
    </row>
    <row r="259">
      <c r="A259" s="101"/>
      <c r="B259" s="101"/>
      <c r="C259" s="101"/>
      <c r="D259" s="101"/>
      <c r="E259" s="112"/>
      <c r="F259" s="102"/>
    </row>
    <row r="260">
      <c r="A260" s="101"/>
      <c r="B260" s="101"/>
      <c r="C260" s="101"/>
      <c r="D260" s="101"/>
      <c r="E260" s="112"/>
      <c r="F260" s="102"/>
    </row>
    <row r="261">
      <c r="A261" s="101"/>
      <c r="B261" s="101"/>
      <c r="C261" s="101"/>
      <c r="D261" s="101"/>
      <c r="E261" s="112"/>
      <c r="F261" s="102"/>
    </row>
    <row r="262">
      <c r="A262" s="101"/>
      <c r="B262" s="101"/>
      <c r="C262" s="101"/>
      <c r="D262" s="101"/>
      <c r="E262" s="112"/>
      <c r="F262" s="102"/>
    </row>
    <row r="263">
      <c r="A263" s="101"/>
      <c r="B263" s="101"/>
      <c r="C263" s="101"/>
      <c r="D263" s="101"/>
      <c r="E263" s="112"/>
      <c r="F263" s="102"/>
    </row>
    <row r="264">
      <c r="A264" s="101"/>
      <c r="B264" s="101"/>
      <c r="C264" s="101"/>
      <c r="D264" s="101"/>
      <c r="E264" s="112"/>
      <c r="F264" s="102"/>
    </row>
    <row r="265">
      <c r="A265" s="101"/>
      <c r="B265" s="101"/>
      <c r="C265" s="101"/>
      <c r="D265" s="101"/>
      <c r="E265" s="112"/>
      <c r="F265" s="102"/>
    </row>
    <row r="266">
      <c r="A266" s="101"/>
      <c r="B266" s="101"/>
      <c r="C266" s="101"/>
      <c r="D266" s="101"/>
      <c r="E266" s="112"/>
      <c r="F266" s="102"/>
    </row>
    <row r="267">
      <c r="A267" s="101"/>
      <c r="B267" s="101"/>
      <c r="C267" s="101"/>
      <c r="D267" s="101"/>
      <c r="E267" s="112"/>
      <c r="F267" s="102"/>
    </row>
    <row r="268">
      <c r="A268" s="101"/>
      <c r="B268" s="101"/>
      <c r="C268" s="101"/>
      <c r="D268" s="101"/>
      <c r="E268" s="112"/>
      <c r="F268" s="102"/>
    </row>
    <row r="269">
      <c r="A269" s="101"/>
      <c r="B269" s="101"/>
      <c r="C269" s="101"/>
      <c r="D269" s="101"/>
      <c r="E269" s="112"/>
      <c r="F269" s="102"/>
    </row>
    <row r="270">
      <c r="A270" s="101"/>
      <c r="B270" s="101"/>
      <c r="C270" s="101"/>
      <c r="D270" s="101"/>
      <c r="E270" s="112"/>
      <c r="F270" s="102"/>
    </row>
    <row r="271">
      <c r="A271" s="101"/>
      <c r="B271" s="101"/>
      <c r="C271" s="101"/>
      <c r="D271" s="101"/>
      <c r="E271" s="112"/>
      <c r="F271" s="102"/>
    </row>
    <row r="272">
      <c r="A272" s="101"/>
      <c r="B272" s="101"/>
      <c r="C272" s="101"/>
      <c r="D272" s="101"/>
      <c r="E272" s="112"/>
      <c r="F272" s="102"/>
    </row>
    <row r="273">
      <c r="A273" s="101"/>
      <c r="B273" s="101"/>
      <c r="C273" s="101"/>
      <c r="D273" s="101"/>
      <c r="E273" s="112"/>
      <c r="F273" s="102"/>
    </row>
    <row r="274">
      <c r="A274" s="101"/>
      <c r="B274" s="101"/>
      <c r="C274" s="101"/>
      <c r="D274" s="101"/>
      <c r="E274" s="112"/>
      <c r="F274" s="102"/>
    </row>
    <row r="275">
      <c r="A275" s="101"/>
      <c r="B275" s="101"/>
      <c r="C275" s="101"/>
      <c r="D275" s="101"/>
      <c r="E275" s="112"/>
      <c r="F275" s="102"/>
    </row>
    <row r="276">
      <c r="A276" s="101"/>
      <c r="B276" s="101"/>
      <c r="C276" s="101"/>
      <c r="D276" s="101"/>
      <c r="E276" s="112"/>
      <c r="F276" s="102"/>
    </row>
    <row r="277">
      <c r="A277" s="101"/>
      <c r="B277" s="101"/>
      <c r="C277" s="101"/>
      <c r="D277" s="101"/>
      <c r="E277" s="112"/>
      <c r="F277" s="102"/>
    </row>
    <row r="278">
      <c r="A278" s="101"/>
      <c r="B278" s="101"/>
      <c r="C278" s="101"/>
      <c r="D278" s="101"/>
      <c r="E278" s="112"/>
      <c r="F278" s="102"/>
    </row>
    <row r="279">
      <c r="A279" s="101"/>
      <c r="B279" s="101"/>
      <c r="C279" s="101"/>
      <c r="D279" s="101"/>
      <c r="E279" s="112"/>
      <c r="F279" s="102"/>
    </row>
    <row r="280">
      <c r="A280" s="101"/>
      <c r="B280" s="101"/>
      <c r="C280" s="101"/>
      <c r="D280" s="101"/>
      <c r="E280" s="112"/>
      <c r="F280" s="102"/>
    </row>
    <row r="281">
      <c r="A281" s="101"/>
      <c r="B281" s="101"/>
      <c r="C281" s="101"/>
      <c r="D281" s="101"/>
      <c r="E281" s="112"/>
      <c r="F281" s="102"/>
    </row>
    <row r="282">
      <c r="A282" s="101"/>
      <c r="B282" s="101"/>
      <c r="C282" s="101"/>
      <c r="D282" s="101"/>
      <c r="E282" s="112"/>
      <c r="F282" s="102"/>
    </row>
    <row r="283">
      <c r="A283" s="101"/>
      <c r="B283" s="101"/>
      <c r="C283" s="101"/>
      <c r="D283" s="101"/>
      <c r="E283" s="112"/>
      <c r="F283" s="102"/>
    </row>
    <row r="284">
      <c r="A284" s="101"/>
      <c r="B284" s="101"/>
      <c r="C284" s="101"/>
      <c r="D284" s="101"/>
      <c r="E284" s="112"/>
      <c r="F284" s="102"/>
    </row>
    <row r="285">
      <c r="A285" s="101"/>
      <c r="B285" s="101"/>
      <c r="C285" s="101"/>
      <c r="D285" s="101"/>
      <c r="E285" s="112"/>
      <c r="F285" s="102"/>
    </row>
    <row r="286">
      <c r="A286" s="101"/>
      <c r="B286" s="101"/>
      <c r="C286" s="101"/>
      <c r="D286" s="101"/>
      <c r="E286" s="112"/>
      <c r="F286" s="102"/>
    </row>
    <row r="287">
      <c r="A287" s="101"/>
      <c r="B287" s="101"/>
      <c r="C287" s="101"/>
      <c r="D287" s="101"/>
      <c r="E287" s="112"/>
      <c r="F287" s="102"/>
    </row>
    <row r="288">
      <c r="A288" s="101"/>
      <c r="B288" s="101"/>
      <c r="C288" s="101"/>
      <c r="D288" s="101"/>
      <c r="E288" s="112"/>
      <c r="F288" s="102"/>
    </row>
    <row r="289">
      <c r="A289" s="101"/>
      <c r="B289" s="101"/>
      <c r="C289" s="101"/>
      <c r="D289" s="101"/>
      <c r="E289" s="112"/>
      <c r="F289" s="102"/>
    </row>
    <row r="290">
      <c r="A290" s="101"/>
      <c r="B290" s="101"/>
      <c r="C290" s="101"/>
      <c r="D290" s="101"/>
      <c r="E290" s="112"/>
      <c r="F290" s="102"/>
    </row>
    <row r="291">
      <c r="A291" s="101"/>
      <c r="B291" s="101"/>
      <c r="C291" s="101"/>
      <c r="D291" s="101"/>
      <c r="E291" s="112"/>
      <c r="F291" s="102"/>
    </row>
    <row r="292">
      <c r="A292" s="101"/>
      <c r="B292" s="101"/>
      <c r="C292" s="101"/>
      <c r="D292" s="101"/>
      <c r="E292" s="112"/>
      <c r="F292" s="102"/>
    </row>
    <row r="293">
      <c r="A293" s="101"/>
      <c r="B293" s="101"/>
      <c r="C293" s="101"/>
      <c r="D293" s="101"/>
      <c r="E293" s="112"/>
      <c r="F293" s="102"/>
    </row>
    <row r="294">
      <c r="A294" s="101"/>
      <c r="B294" s="101"/>
      <c r="C294" s="101"/>
      <c r="D294" s="101"/>
      <c r="E294" s="112"/>
      <c r="F294" s="102"/>
    </row>
    <row r="295">
      <c r="A295" s="101"/>
      <c r="B295" s="101"/>
      <c r="C295" s="101"/>
      <c r="D295" s="101"/>
      <c r="E295" s="112"/>
      <c r="F295" s="102"/>
    </row>
    <row r="296">
      <c r="A296" s="101"/>
      <c r="B296" s="101"/>
      <c r="C296" s="101"/>
      <c r="D296" s="101"/>
      <c r="E296" s="112"/>
      <c r="F296" s="102"/>
    </row>
    <row r="297">
      <c r="A297" s="101"/>
      <c r="B297" s="101"/>
      <c r="C297" s="101"/>
      <c r="D297" s="101"/>
      <c r="E297" s="112"/>
      <c r="F297" s="102"/>
    </row>
    <row r="298">
      <c r="A298" s="101"/>
      <c r="B298" s="101"/>
      <c r="C298" s="101"/>
      <c r="D298" s="101"/>
      <c r="E298" s="112"/>
      <c r="F298" s="102"/>
    </row>
    <row r="299">
      <c r="A299" s="101"/>
      <c r="B299" s="101"/>
      <c r="C299" s="101"/>
      <c r="D299" s="101"/>
      <c r="E299" s="112"/>
      <c r="F299" s="102"/>
    </row>
    <row r="300">
      <c r="A300" s="101"/>
      <c r="B300" s="101"/>
      <c r="C300" s="101"/>
      <c r="D300" s="101"/>
      <c r="E300" s="112"/>
      <c r="F300" s="102"/>
    </row>
    <row r="301">
      <c r="A301" s="101"/>
      <c r="B301" s="101"/>
      <c r="C301" s="101"/>
      <c r="D301" s="101"/>
      <c r="E301" s="112"/>
      <c r="F301" s="102"/>
    </row>
    <row r="302">
      <c r="A302" s="101"/>
      <c r="B302" s="101"/>
      <c r="C302" s="101"/>
      <c r="D302" s="101"/>
      <c r="E302" s="112"/>
      <c r="F302" s="102"/>
    </row>
    <row r="303">
      <c r="A303" s="101"/>
      <c r="B303" s="101"/>
      <c r="C303" s="101"/>
      <c r="D303" s="101"/>
      <c r="E303" s="112"/>
      <c r="F303" s="102"/>
    </row>
    <row r="304">
      <c r="A304" s="101"/>
      <c r="B304" s="101"/>
      <c r="C304" s="101"/>
      <c r="D304" s="101"/>
      <c r="E304" s="112"/>
      <c r="F304" s="102"/>
    </row>
    <row r="305">
      <c r="A305" s="101"/>
      <c r="B305" s="101"/>
      <c r="C305" s="101"/>
      <c r="D305" s="101"/>
      <c r="E305" s="112"/>
      <c r="F305" s="102"/>
    </row>
    <row r="306">
      <c r="A306" s="101"/>
      <c r="B306" s="101"/>
      <c r="C306" s="101"/>
      <c r="D306" s="101"/>
      <c r="E306" s="112"/>
      <c r="F306" s="102"/>
    </row>
    <row r="307">
      <c r="A307" s="101"/>
      <c r="B307" s="101"/>
      <c r="C307" s="101"/>
      <c r="D307" s="101"/>
      <c r="E307" s="112"/>
      <c r="F307" s="102"/>
    </row>
    <row r="308">
      <c r="A308" s="101"/>
      <c r="B308" s="101"/>
      <c r="C308" s="101"/>
      <c r="D308" s="101"/>
      <c r="E308" s="112"/>
      <c r="F308" s="102"/>
    </row>
    <row r="309">
      <c r="A309" s="101"/>
      <c r="B309" s="101"/>
      <c r="C309" s="101"/>
      <c r="D309" s="101"/>
      <c r="E309" s="112"/>
      <c r="F309" s="102"/>
    </row>
    <row r="310">
      <c r="A310" s="101"/>
      <c r="B310" s="101"/>
      <c r="C310" s="101"/>
      <c r="D310" s="101"/>
      <c r="E310" s="112"/>
      <c r="F310" s="102"/>
    </row>
    <row r="311">
      <c r="A311" s="101"/>
      <c r="B311" s="101"/>
      <c r="C311" s="101"/>
      <c r="D311" s="101"/>
      <c r="E311" s="112"/>
      <c r="F311" s="102"/>
    </row>
    <row r="312">
      <c r="A312" s="101"/>
      <c r="B312" s="101"/>
      <c r="C312" s="101"/>
      <c r="D312" s="101"/>
      <c r="E312" s="112"/>
      <c r="F312" s="102"/>
    </row>
    <row r="313">
      <c r="A313" s="101"/>
      <c r="B313" s="101"/>
      <c r="C313" s="101"/>
      <c r="D313" s="101"/>
      <c r="E313" s="112"/>
      <c r="F313" s="102"/>
    </row>
    <row r="314">
      <c r="A314" s="101"/>
      <c r="B314" s="101"/>
      <c r="C314" s="101"/>
      <c r="D314" s="101"/>
      <c r="E314" s="112"/>
      <c r="F314" s="102"/>
    </row>
    <row r="315">
      <c r="A315" s="101"/>
      <c r="B315" s="101"/>
      <c r="C315" s="101"/>
      <c r="D315" s="101"/>
      <c r="E315" s="112"/>
      <c r="F315" s="102"/>
    </row>
    <row r="316">
      <c r="A316" s="101"/>
      <c r="B316" s="101"/>
      <c r="C316" s="101"/>
      <c r="D316" s="101"/>
      <c r="E316" s="112"/>
      <c r="F316" s="102"/>
    </row>
    <row r="317">
      <c r="A317" s="101"/>
      <c r="B317" s="101"/>
      <c r="C317" s="101"/>
      <c r="D317" s="101"/>
      <c r="E317" s="112"/>
      <c r="F317" s="102"/>
    </row>
    <row r="318">
      <c r="A318" s="101"/>
      <c r="B318" s="101"/>
      <c r="C318" s="101"/>
      <c r="D318" s="101"/>
      <c r="E318" s="112"/>
      <c r="F318" s="102"/>
    </row>
    <row r="319">
      <c r="A319" s="101"/>
      <c r="B319" s="101"/>
      <c r="C319" s="101"/>
      <c r="D319" s="101"/>
      <c r="E319" s="112"/>
      <c r="F319" s="102"/>
    </row>
    <row r="320">
      <c r="A320" s="101"/>
      <c r="B320" s="101"/>
      <c r="C320" s="101"/>
      <c r="D320" s="101"/>
      <c r="E320" s="112"/>
      <c r="F320" s="102"/>
    </row>
    <row r="321">
      <c r="A321" s="101"/>
      <c r="B321" s="101"/>
      <c r="C321" s="101"/>
      <c r="D321" s="101"/>
      <c r="E321" s="112"/>
      <c r="F321" s="102"/>
    </row>
    <row r="322">
      <c r="A322" s="101"/>
      <c r="B322" s="101"/>
      <c r="C322" s="101"/>
      <c r="D322" s="101"/>
      <c r="E322" s="112"/>
      <c r="F322" s="102"/>
    </row>
    <row r="323">
      <c r="A323" s="102"/>
      <c r="B323" s="116"/>
      <c r="C323" s="116"/>
      <c r="D323" s="116"/>
      <c r="E323" s="117"/>
      <c r="F323" s="102"/>
    </row>
    <row r="324">
      <c r="A324" s="102"/>
      <c r="B324" s="102"/>
      <c r="C324" s="116"/>
      <c r="D324" s="116"/>
      <c r="E324" s="117"/>
      <c r="F324" s="102"/>
    </row>
    <row r="325">
      <c r="A325" s="102"/>
      <c r="B325" s="102"/>
      <c r="C325" s="116"/>
      <c r="D325" s="116"/>
      <c r="E325" s="117"/>
      <c r="F325" s="102"/>
    </row>
    <row r="326">
      <c r="A326" s="102"/>
      <c r="B326" s="102"/>
      <c r="C326" s="116"/>
      <c r="D326" s="116"/>
      <c r="E326" s="117"/>
      <c r="F326" s="102"/>
    </row>
    <row r="327">
      <c r="A327" s="102"/>
      <c r="B327" s="102"/>
      <c r="C327" s="116"/>
      <c r="D327" s="116"/>
      <c r="E327" s="117"/>
      <c r="F327" s="102"/>
    </row>
    <row r="328">
      <c r="A328" s="102"/>
      <c r="B328" s="102"/>
      <c r="C328" s="116"/>
      <c r="D328" s="116"/>
      <c r="E328" s="117"/>
      <c r="F328" s="102"/>
    </row>
    <row r="329">
      <c r="A329" s="102"/>
      <c r="B329" s="102"/>
      <c r="C329" s="116"/>
      <c r="D329" s="116"/>
      <c r="E329" s="117"/>
      <c r="F329" s="102"/>
    </row>
    <row r="330">
      <c r="A330" s="102"/>
      <c r="B330" s="102"/>
      <c r="C330" s="116"/>
      <c r="D330" s="116"/>
      <c r="E330" s="117"/>
      <c r="F330" s="102"/>
    </row>
    <row r="331">
      <c r="A331" s="102"/>
      <c r="B331" s="102"/>
      <c r="C331" s="116"/>
      <c r="D331" s="116"/>
      <c r="E331" s="117"/>
      <c r="F331" s="102"/>
    </row>
    <row r="332">
      <c r="A332" s="102"/>
      <c r="B332" s="102"/>
      <c r="C332" s="116"/>
      <c r="D332" s="116"/>
      <c r="E332" s="117"/>
      <c r="F332" s="102"/>
    </row>
  </sheetData>
  <mergeCells count="1">
    <mergeCell ref="B14:B32"/>
  </mergeCells>
  <hyperlinks>
    <hyperlink r:id="rId1" ref="C34"/>
    <hyperlink r:id="rId2" ref="C35"/>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E4D2D"/>
    <outlinePr summaryBelow="0" summaryRight="0"/>
  </sheetPr>
  <sheetViews>
    <sheetView workbookViewId="0"/>
  </sheetViews>
  <sheetFormatPr customHeight="1" defaultColWidth="12.63" defaultRowHeight="15.75"/>
  <cols>
    <col customWidth="1" min="1" max="1" width="10.63"/>
    <col customWidth="1" min="2" max="2" width="34.75"/>
    <col customWidth="1" min="3" max="3" width="42.63"/>
    <col customWidth="1" min="4" max="4" width="9.88"/>
    <col customWidth="1" min="5" max="5" width="17.63"/>
    <col customWidth="1" min="6" max="6" width="32.88"/>
  </cols>
  <sheetData>
    <row r="1">
      <c r="A1" s="118" t="s">
        <v>582</v>
      </c>
    </row>
    <row r="2">
      <c r="A2" s="1"/>
      <c r="B2" s="2" t="s">
        <v>583</v>
      </c>
      <c r="C2" s="3"/>
      <c r="D2" s="3"/>
      <c r="E2" s="4"/>
      <c r="F2" s="3"/>
      <c r="G2" s="5"/>
    </row>
    <row r="3">
      <c r="A3" s="119"/>
      <c r="B3" s="120" t="s">
        <v>584</v>
      </c>
      <c r="C3" s="121"/>
      <c r="D3" s="121"/>
      <c r="E3" s="122"/>
      <c r="F3" s="121"/>
      <c r="G3" s="123"/>
    </row>
    <row r="4">
      <c r="A4" s="124"/>
      <c r="B4" s="125" t="s">
        <v>585</v>
      </c>
      <c r="C4" s="126"/>
      <c r="D4" s="126"/>
      <c r="E4" s="127"/>
      <c r="F4" s="126"/>
      <c r="G4" s="128"/>
    </row>
    <row r="5" ht="33.75" customHeight="1">
      <c r="A5" s="129"/>
      <c r="B5" s="130" t="s">
        <v>586</v>
      </c>
      <c r="C5" s="131" t="s">
        <v>587</v>
      </c>
      <c r="D5" s="132" t="s">
        <v>588</v>
      </c>
      <c r="E5" s="133"/>
      <c r="F5" s="134" t="s">
        <v>589</v>
      </c>
      <c r="G5" s="135"/>
    </row>
    <row r="6" ht="33.75" customHeight="1">
      <c r="A6" s="136"/>
      <c r="B6" s="137" t="s">
        <v>590</v>
      </c>
      <c r="C6" s="138" t="s">
        <v>591</v>
      </c>
      <c r="D6" s="139"/>
      <c r="E6" s="140">
        <v>66000.0</v>
      </c>
      <c r="F6" s="141" t="s">
        <v>592</v>
      </c>
      <c r="G6" s="135"/>
    </row>
    <row r="7" ht="33.75" customHeight="1">
      <c r="A7" s="136"/>
      <c r="B7" s="137" t="s">
        <v>593</v>
      </c>
      <c r="C7" s="138" t="s">
        <v>594</v>
      </c>
      <c r="D7" s="142"/>
      <c r="E7" s="143">
        <v>125000.0</v>
      </c>
      <c r="F7" s="144" t="s">
        <v>595</v>
      </c>
      <c r="G7" s="135"/>
    </row>
    <row r="8" ht="33.75" customHeight="1">
      <c r="A8" s="136"/>
      <c r="B8" s="145" t="s">
        <v>596</v>
      </c>
      <c r="C8" s="138" t="s">
        <v>597</v>
      </c>
      <c r="D8" s="146"/>
      <c r="E8" s="147">
        <v>0.0</v>
      </c>
      <c r="F8" s="144" t="s">
        <v>598</v>
      </c>
      <c r="G8" s="135"/>
    </row>
    <row r="9" ht="33.75" customHeight="1">
      <c r="A9" s="148"/>
      <c r="B9" s="149" t="s">
        <v>599</v>
      </c>
      <c r="C9" s="150" t="s">
        <v>600</v>
      </c>
      <c r="D9" s="151"/>
      <c r="E9" s="152">
        <f>E7-E8</f>
        <v>125000</v>
      </c>
      <c r="F9" s="144" t="s">
        <v>601</v>
      </c>
      <c r="G9" s="135"/>
    </row>
    <row r="10">
      <c r="A10" s="153"/>
      <c r="B10" s="154"/>
      <c r="C10" s="154"/>
      <c r="D10" s="154"/>
      <c r="E10" s="154"/>
      <c r="F10" s="154"/>
      <c r="G10" s="155"/>
    </row>
    <row r="11">
      <c r="A11" s="148"/>
      <c r="B11" s="156"/>
      <c r="G11" s="148"/>
    </row>
    <row r="12" ht="33.75" customHeight="1">
      <c r="A12" s="157"/>
      <c r="B12" s="158" t="s">
        <v>602</v>
      </c>
      <c r="C12" s="159" t="s">
        <v>587</v>
      </c>
      <c r="D12" s="160" t="s">
        <v>603</v>
      </c>
      <c r="E12" s="161" t="s">
        <v>604</v>
      </c>
      <c r="F12" s="162" t="s">
        <v>589</v>
      </c>
      <c r="G12" s="135"/>
    </row>
    <row r="13" ht="33.75" customHeight="1">
      <c r="A13" s="136"/>
      <c r="B13" s="137" t="s">
        <v>605</v>
      </c>
      <c r="C13" s="163" t="s">
        <v>454</v>
      </c>
      <c r="D13" s="164">
        <f t="array" ref="D13">INDEX('Biaya Administrasi'!E:E, MATCH(C13, 'Biaya Administrasi'!B:B, 0))</f>
        <v>0.095</v>
      </c>
      <c r="E13" s="165">
        <f>$E$9*$D$13</f>
        <v>11875</v>
      </c>
      <c r="F13" s="144" t="s">
        <v>606</v>
      </c>
      <c r="G13" s="135"/>
    </row>
    <row r="14" ht="33.75" customHeight="1">
      <c r="A14" s="136"/>
      <c r="B14" s="145" t="s">
        <v>607</v>
      </c>
      <c r="C14" s="166" t="s">
        <v>565</v>
      </c>
      <c r="D14" s="167">
        <f t="array" ref="D14">INDEX('Biaya Gratis Ongkir Xtra'!D:D, MATCH(C14, 'Biaya Gratis Ongkir Xtra'!C:C, 0))</f>
        <v>0.06</v>
      </c>
      <c r="E14" s="165">
        <f>MIN(
  $E$9*$D$14,
  IF(LEFT(C14,12)="Ukuran Biasa",
     40000,
     IF(LEFT(C14,13)="Ukuran Khusus",
        60000,
        NA()
     )
  )
)</f>
        <v>7500</v>
      </c>
      <c r="F14" s="141" t="s">
        <v>608</v>
      </c>
      <c r="G14" s="135"/>
    </row>
    <row r="15" ht="33.75" customHeight="1">
      <c r="A15" s="136"/>
      <c r="B15" s="137" t="s">
        <v>609</v>
      </c>
      <c r="C15" s="168" t="s">
        <v>555</v>
      </c>
      <c r="D15" s="167">
        <f t="array" ref="D15">INDEX('Biaya Gratis Ongkir Xtra'!C7:C10, MATCH(C15, 'Biaya Gratis Ongkir Xtra'!B7:B10, 0))</f>
        <v>0.045</v>
      </c>
      <c r="E15" s="165">
        <f>MIN(
  $E$9*$D$15,
  IF(C15="Promo Xtra+",80000,60000)
)</f>
        <v>5625</v>
      </c>
      <c r="F15" s="141" t="s">
        <v>610</v>
      </c>
      <c r="G15" s="135"/>
    </row>
    <row r="16" ht="33.75" customHeight="1">
      <c r="A16" s="136"/>
      <c r="B16" s="137" t="s">
        <v>33</v>
      </c>
      <c r="C16" s="169" t="s">
        <v>611</v>
      </c>
      <c r="D16" s="170" t="s">
        <v>612</v>
      </c>
      <c r="E16" s="171">
        <v>1250.0</v>
      </c>
      <c r="F16" s="144" t="s">
        <v>601</v>
      </c>
      <c r="G16" s="135"/>
    </row>
    <row r="17" ht="33.75" customHeight="1">
      <c r="A17" s="136"/>
      <c r="B17" s="137" t="s">
        <v>550</v>
      </c>
      <c r="C17" s="168" t="s">
        <v>551</v>
      </c>
      <c r="D17" s="167">
        <f t="array" ref="D17">INDEX('Biaya Gratis Ongkir Xtra'!C3:C4, MATCH(C17, 'Biaya Gratis Ongkir Xtra'!B3:B4, 0))</f>
        <v>0</v>
      </c>
      <c r="E17" s="165">
        <f>$E$9*$D$17</f>
        <v>0</v>
      </c>
      <c r="F17" s="144" t="s">
        <v>613</v>
      </c>
      <c r="G17" s="135"/>
    </row>
    <row r="18" ht="33.75" customHeight="1">
      <c r="A18" s="148"/>
      <c r="B18" s="149" t="s">
        <v>614</v>
      </c>
      <c r="C18" s="172"/>
      <c r="D18" s="173">
        <f>(E18/E9)</f>
        <v>0.21</v>
      </c>
      <c r="E18" s="152">
        <f>$E$14+$E$15+$E$13+$E$16+E17</f>
        <v>26250</v>
      </c>
      <c r="F18" s="144" t="s">
        <v>601</v>
      </c>
      <c r="G18" s="135"/>
    </row>
    <row r="19" ht="33.75" customHeight="1">
      <c r="A19" s="174"/>
      <c r="B19" s="175" t="s">
        <v>615</v>
      </c>
      <c r="C19" s="176"/>
      <c r="D19" s="176"/>
      <c r="E19" s="177">
        <f>$E$9-$E$18</f>
        <v>98750</v>
      </c>
      <c r="F19" s="178" t="s">
        <v>616</v>
      </c>
      <c r="G19" s="128"/>
    </row>
    <row r="20">
      <c r="A20" s="179"/>
      <c r="B20" s="180"/>
      <c r="C20" s="128"/>
      <c r="D20" s="128"/>
      <c r="E20" s="181"/>
      <c r="F20" s="128"/>
      <c r="G20" s="182"/>
    </row>
    <row r="21" ht="33.0" customHeight="1">
      <c r="A21" s="179"/>
      <c r="B21" s="183" t="s">
        <v>617</v>
      </c>
      <c r="C21" s="184" t="s">
        <v>587</v>
      </c>
      <c r="D21" s="185" t="s">
        <v>603</v>
      </c>
      <c r="E21" s="186" t="s">
        <v>604</v>
      </c>
      <c r="F21" s="187" t="s">
        <v>589</v>
      </c>
      <c r="G21" s="182"/>
    </row>
    <row r="22" ht="36.0" customHeight="1">
      <c r="A22" s="179"/>
      <c r="B22" s="188" t="s">
        <v>618</v>
      </c>
      <c r="C22" s="189" t="s">
        <v>619</v>
      </c>
      <c r="D22" s="190">
        <v>0.0</v>
      </c>
      <c r="E22" s="191">
        <f>MIN($E$9*$D$22)</f>
        <v>0</v>
      </c>
      <c r="F22" s="192" t="s">
        <v>620</v>
      </c>
      <c r="G22" s="182"/>
    </row>
    <row r="23">
      <c r="A23" s="179"/>
      <c r="B23" s="193" t="s">
        <v>621</v>
      </c>
      <c r="C23" s="194"/>
      <c r="D23" s="194"/>
      <c r="E23" s="195">
        <f>$E$19-$E$22</f>
        <v>98750</v>
      </c>
      <c r="F23" s="196" t="s">
        <v>622</v>
      </c>
      <c r="G23" s="182"/>
    </row>
    <row r="24">
      <c r="A24" s="179"/>
      <c r="B24" s="197"/>
      <c r="C24" s="198"/>
      <c r="D24" s="198"/>
      <c r="E24" s="199"/>
      <c r="F24" s="198"/>
      <c r="G24" s="182"/>
    </row>
    <row r="25" ht="33.75" customHeight="1">
      <c r="A25" s="180"/>
      <c r="B25" s="130" t="s">
        <v>623</v>
      </c>
      <c r="C25" s="131"/>
      <c r="D25" s="160" t="s">
        <v>603</v>
      </c>
      <c r="E25" s="132" t="s">
        <v>588</v>
      </c>
      <c r="F25" s="134" t="s">
        <v>589</v>
      </c>
      <c r="G25" s="128"/>
    </row>
    <row r="26" ht="33.75" customHeight="1">
      <c r="A26" s="180"/>
      <c r="B26" s="137" t="s">
        <v>624</v>
      </c>
      <c r="C26" s="169" t="s">
        <v>625</v>
      </c>
      <c r="D26" s="200">
        <v>0.005</v>
      </c>
      <c r="E26" s="171">
        <f>E19*D26</f>
        <v>493.75</v>
      </c>
      <c r="F26" s="178" t="s">
        <v>626</v>
      </c>
      <c r="G26" s="128"/>
    </row>
    <row r="27" ht="33.75" customHeight="1">
      <c r="A27" s="119"/>
      <c r="B27" s="201" t="s">
        <v>627</v>
      </c>
      <c r="C27" s="202"/>
      <c r="D27" s="203">
        <f>(E23-E6)/E23</f>
        <v>0.3316455696</v>
      </c>
      <c r="E27" s="204">
        <f>E19-E6-E22</f>
        <v>32750</v>
      </c>
      <c r="F27" s="178" t="s">
        <v>628</v>
      </c>
      <c r="G27" s="128"/>
    </row>
    <row r="28">
      <c r="A28" s="180"/>
      <c r="B28" s="205"/>
      <c r="C28" s="206"/>
      <c r="D28" s="206"/>
      <c r="E28" s="207"/>
      <c r="F28" s="206"/>
      <c r="G28" s="128"/>
    </row>
    <row r="29" ht="33.75" customHeight="1">
      <c r="A29" s="208"/>
      <c r="B29" s="209" t="s">
        <v>629</v>
      </c>
      <c r="C29" s="210"/>
      <c r="D29" s="210"/>
      <c r="E29" s="133"/>
      <c r="F29" s="211" t="s">
        <v>589</v>
      </c>
      <c r="G29" s="212"/>
    </row>
    <row r="30">
      <c r="A30" s="213"/>
      <c r="B30" s="214">
        <f>E9+(E9*D18)+E22+E26</f>
        <v>151743.75</v>
      </c>
      <c r="F30" s="215" t="s">
        <v>630</v>
      </c>
      <c r="G30" s="216"/>
    </row>
  </sheetData>
  <mergeCells count="6">
    <mergeCell ref="A1:G1"/>
    <mergeCell ref="D5:E5"/>
    <mergeCell ref="A10:G10"/>
    <mergeCell ref="B11:F11"/>
    <mergeCell ref="B29:E29"/>
    <mergeCell ref="B30:E30"/>
  </mergeCells>
  <dataValidations>
    <dataValidation type="list" allowBlank="1" showErrorMessage="1" sqref="C14">
      <formula1>'Biaya Gratis Ongkir Xtra'!$C$14:$C31</formula1>
    </dataValidation>
    <dataValidation type="list" allowBlank="1" showErrorMessage="1" sqref="C13">
      <formula1>'Biaya Administrasi'!$B:$B</formula1>
    </dataValidation>
    <dataValidation type="list" allowBlank="1" showErrorMessage="1" sqref="C17">
      <formula1>'Biaya Gratis Ongkir Xtra'!$B$3:$B$4</formula1>
    </dataValidation>
    <dataValidation type="list" allowBlank="1" showErrorMessage="1" sqref="C15">
      <formula1>'Biaya Gratis Ongkir Xtra'!$B$7:$B$10</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7.0" topLeftCell="C8" activePane="bottomRight" state="frozen"/>
      <selection activeCell="C1" sqref="C1" pane="topRight"/>
      <selection activeCell="A8" sqref="A8" pane="bottomLeft"/>
      <selection activeCell="C8" sqref="C8" pane="bottomRight"/>
    </sheetView>
  </sheetViews>
  <sheetFormatPr customHeight="1" defaultColWidth="12.63" defaultRowHeight="15.75"/>
  <cols>
    <col customWidth="1" min="1" max="1" width="6.75"/>
    <col customWidth="1" min="2" max="2" width="21.25"/>
    <col customWidth="1" min="3" max="7" width="12.63"/>
    <col customWidth="1" min="8" max="8" width="5.88"/>
    <col customWidth="1" min="9" max="12" width="21.38"/>
    <col customWidth="1" min="13" max="13" width="6.75"/>
    <col customWidth="1" min="14" max="14" width="6.88"/>
    <col customWidth="1" min="16" max="16" width="6.88"/>
    <col customWidth="1" min="18" max="18" width="6.88"/>
    <col customWidth="1" min="21" max="21" width="6.88"/>
    <col customWidth="1" min="23" max="23" width="6.75"/>
    <col customWidth="1" min="29" max="30" width="12.38"/>
    <col customWidth="1" min="31" max="31" width="11.13"/>
  </cols>
  <sheetData>
    <row r="1">
      <c r="A1" s="22"/>
      <c r="B1" s="217"/>
      <c r="C1" s="118" t="s">
        <v>582</v>
      </c>
      <c r="K1" s="218"/>
      <c r="L1" s="218"/>
      <c r="M1" s="218"/>
      <c r="N1" s="219"/>
      <c r="O1" s="220"/>
      <c r="P1" s="219"/>
      <c r="Q1" s="220"/>
      <c r="R1" s="219"/>
      <c r="S1" s="220"/>
      <c r="T1" s="221"/>
      <c r="U1" s="219"/>
      <c r="V1" s="220"/>
      <c r="W1" s="22"/>
      <c r="X1" s="218"/>
      <c r="Y1" s="218"/>
      <c r="Z1" s="222"/>
      <c r="AA1" s="222"/>
      <c r="AB1" s="222"/>
      <c r="AC1" s="22"/>
      <c r="AD1" s="22"/>
      <c r="AE1" s="22"/>
    </row>
    <row r="2">
      <c r="A2" s="22"/>
      <c r="B2" s="217"/>
      <c r="C2" s="217"/>
      <c r="D2" s="217"/>
      <c r="E2" s="217"/>
      <c r="F2" s="217"/>
      <c r="G2" s="217"/>
      <c r="H2" s="22"/>
      <c r="I2" s="218"/>
      <c r="J2" s="218"/>
      <c r="K2" s="218"/>
      <c r="L2" s="218"/>
      <c r="M2" s="218"/>
      <c r="N2" s="219"/>
      <c r="O2" s="220"/>
      <c r="P2" s="219"/>
      <c r="Q2" s="220"/>
      <c r="R2" s="219"/>
      <c r="S2" s="220"/>
      <c r="T2" s="221"/>
      <c r="U2" s="219"/>
      <c r="V2" s="220"/>
      <c r="W2" s="22"/>
      <c r="X2" s="218"/>
      <c r="Y2" s="218"/>
      <c r="Z2" s="222"/>
      <c r="AA2" s="222"/>
      <c r="AB2" s="222"/>
      <c r="AC2" s="22"/>
      <c r="AD2" s="22"/>
      <c r="AE2" s="22"/>
    </row>
    <row r="3">
      <c r="A3" s="22"/>
      <c r="B3" s="217"/>
      <c r="C3" s="217"/>
      <c r="D3" s="217"/>
      <c r="E3" s="217"/>
      <c r="F3" s="217"/>
      <c r="G3" s="217"/>
      <c r="H3" s="22"/>
      <c r="I3" s="218"/>
      <c r="J3" s="218"/>
      <c r="K3" s="218"/>
      <c r="L3" s="218"/>
      <c r="M3" s="218"/>
      <c r="N3" s="219"/>
      <c r="O3" s="220"/>
      <c r="P3" s="219"/>
      <c r="Q3" s="220"/>
      <c r="R3" s="219"/>
      <c r="S3" s="220"/>
      <c r="T3" s="221"/>
      <c r="U3" s="219"/>
      <c r="V3" s="220"/>
      <c r="W3" s="22"/>
      <c r="X3" s="218"/>
      <c r="Y3" s="218"/>
      <c r="Z3" s="222"/>
      <c r="AA3" s="222"/>
      <c r="AB3" s="222"/>
      <c r="AC3" s="22"/>
      <c r="AD3" s="22"/>
      <c r="AE3" s="22"/>
    </row>
    <row r="4">
      <c r="A4" s="223"/>
      <c r="B4" s="224"/>
      <c r="C4" s="224"/>
      <c r="D4" s="224"/>
      <c r="E4" s="224"/>
      <c r="F4" s="224"/>
      <c r="G4" s="224"/>
      <c r="H4" s="225"/>
      <c r="I4" s="226"/>
      <c r="J4" s="226"/>
      <c r="K4" s="226"/>
      <c r="L4" s="226"/>
      <c r="M4" s="226"/>
      <c r="N4" s="227"/>
      <c r="O4" s="228"/>
      <c r="P4" s="227"/>
      <c r="Q4" s="228"/>
      <c r="R4" s="227"/>
      <c r="S4" s="228"/>
      <c r="T4" s="229"/>
      <c r="U4" s="227"/>
      <c r="V4" s="228"/>
      <c r="W4" s="225"/>
      <c r="X4" s="226"/>
      <c r="Y4" s="226"/>
      <c r="Z4" s="230"/>
      <c r="AA4" s="230"/>
      <c r="AB4" s="230"/>
      <c r="AC4" s="225"/>
      <c r="AD4" s="22"/>
      <c r="AE4" s="22"/>
    </row>
    <row r="5">
      <c r="A5" s="231"/>
      <c r="B5" s="232"/>
      <c r="C5" s="233" t="s">
        <v>631</v>
      </c>
      <c r="D5" s="210"/>
      <c r="E5" s="210"/>
      <c r="F5" s="210"/>
      <c r="G5" s="133"/>
      <c r="H5" s="231"/>
      <c r="I5" s="234" t="s">
        <v>632</v>
      </c>
      <c r="J5" s="210"/>
      <c r="K5" s="210"/>
      <c r="L5" s="210"/>
      <c r="M5" s="235"/>
      <c r="N5" s="236" t="s">
        <v>633</v>
      </c>
      <c r="O5" s="210"/>
      <c r="P5" s="210"/>
      <c r="Q5" s="210"/>
      <c r="R5" s="210"/>
      <c r="S5" s="210"/>
      <c r="T5" s="210"/>
      <c r="U5" s="210"/>
      <c r="V5" s="133"/>
      <c r="W5" s="231"/>
      <c r="X5" s="11" t="s">
        <v>634</v>
      </c>
      <c r="AC5" s="237"/>
      <c r="AD5" s="238"/>
      <c r="AE5" s="222"/>
    </row>
    <row r="6">
      <c r="A6" s="239"/>
      <c r="B6" s="240" t="s">
        <v>635</v>
      </c>
      <c r="C6" s="240" t="s">
        <v>590</v>
      </c>
      <c r="D6" s="240" t="s">
        <v>636</v>
      </c>
      <c r="E6" s="240" t="s">
        <v>596</v>
      </c>
      <c r="F6" s="240" t="s">
        <v>637</v>
      </c>
      <c r="G6" s="241" t="s">
        <v>599</v>
      </c>
      <c r="H6" s="239"/>
      <c r="I6" s="242" t="s">
        <v>638</v>
      </c>
      <c r="J6" s="242" t="s">
        <v>639</v>
      </c>
      <c r="K6" s="242" t="s">
        <v>609</v>
      </c>
      <c r="L6" s="242" t="s">
        <v>550</v>
      </c>
      <c r="M6" s="243"/>
      <c r="N6" s="244" t="s">
        <v>638</v>
      </c>
      <c r="P6" s="245" t="s">
        <v>639</v>
      </c>
      <c r="R6" s="246" t="s">
        <v>609</v>
      </c>
      <c r="T6" s="247" t="s">
        <v>33</v>
      </c>
      <c r="U6" s="246" t="s">
        <v>550</v>
      </c>
      <c r="W6" s="239"/>
      <c r="X6" s="248" t="s">
        <v>614</v>
      </c>
      <c r="Y6" s="249" t="s">
        <v>640</v>
      </c>
      <c r="Z6" s="250" t="s">
        <v>641</v>
      </c>
      <c r="AA6" s="248" t="s">
        <v>624</v>
      </c>
      <c r="AB6" s="250" t="s">
        <v>642</v>
      </c>
      <c r="AC6" s="251" t="s">
        <v>629</v>
      </c>
      <c r="AD6" s="252"/>
      <c r="AE6" s="253"/>
    </row>
    <row r="7" ht="42.0" customHeight="1">
      <c r="A7" s="254"/>
      <c r="B7" s="255"/>
      <c r="C7" s="255" t="s">
        <v>592</v>
      </c>
      <c r="D7" s="255" t="s">
        <v>595</v>
      </c>
      <c r="E7" s="255" t="s">
        <v>598</v>
      </c>
      <c r="F7" s="255"/>
      <c r="G7" s="255" t="s">
        <v>601</v>
      </c>
      <c r="H7" s="254"/>
      <c r="I7" s="256" t="s">
        <v>606</v>
      </c>
      <c r="J7" s="256" t="s">
        <v>608</v>
      </c>
      <c r="K7" s="256" t="s">
        <v>610</v>
      </c>
      <c r="L7" s="256" t="s">
        <v>613</v>
      </c>
      <c r="M7" s="257"/>
      <c r="N7" s="258" t="s">
        <v>643</v>
      </c>
      <c r="O7" s="259" t="s">
        <v>644</v>
      </c>
      <c r="P7" s="258" t="s">
        <v>643</v>
      </c>
      <c r="Q7" s="259" t="s">
        <v>644</v>
      </c>
      <c r="R7" s="258" t="s">
        <v>643</v>
      </c>
      <c r="S7" s="259" t="s">
        <v>644</v>
      </c>
      <c r="T7" s="260" t="s">
        <v>601</v>
      </c>
      <c r="U7" s="258" t="s">
        <v>643</v>
      </c>
      <c r="V7" s="259" t="s">
        <v>644</v>
      </c>
      <c r="W7" s="254"/>
      <c r="X7" s="256" t="s">
        <v>601</v>
      </c>
      <c r="Y7" s="256" t="s">
        <v>601</v>
      </c>
      <c r="Z7" s="256" t="s">
        <v>616</v>
      </c>
      <c r="AA7" s="256" t="s">
        <v>626</v>
      </c>
      <c r="AB7" s="256" t="s">
        <v>628</v>
      </c>
      <c r="AC7" s="261" t="s">
        <v>630</v>
      </c>
      <c r="AD7" s="262"/>
      <c r="AE7" s="263"/>
    </row>
    <row r="8">
      <c r="A8" s="264"/>
      <c r="B8" s="265" t="s">
        <v>645</v>
      </c>
      <c r="C8" s="265">
        <v>100000.0</v>
      </c>
      <c r="D8" s="265">
        <v>25000.0</v>
      </c>
      <c r="E8" s="265"/>
      <c r="F8" s="266">
        <v>0.1</v>
      </c>
      <c r="G8" s="267">
        <f t="shared" ref="G8:G303" si="1">if(C8=0,"",(C8+D8-E8))</f>
        <v>125000</v>
      </c>
      <c r="H8" s="264"/>
      <c r="I8" s="268" t="s">
        <v>156</v>
      </c>
      <c r="J8" s="268" t="s">
        <v>561</v>
      </c>
      <c r="K8" s="268" t="s">
        <v>48</v>
      </c>
      <c r="L8" s="268" t="s">
        <v>551</v>
      </c>
      <c r="M8" s="269"/>
      <c r="N8" s="270">
        <f t="array" ref="N8">if(C8=0,"",INDEX('Biaya Administrasi'!E:E, MATCH(I8, 'Biaya Administrasi'!B:B, 0)))</f>
        <v>0.0825</v>
      </c>
      <c r="O8" s="271">
        <f t="shared" ref="O8:O303" si="2">if(C8=0,"",G8*N8)</f>
        <v>10312.5</v>
      </c>
      <c r="P8" s="272">
        <f t="array" ref="P8">if(J8=0,"",INDEX('Biaya Gratis Ongkir Xtra'!D:D, MATCH(J8, 'Biaya Gratis Ongkir Xtra'!C:C, 0)))</f>
        <v>0.01</v>
      </c>
      <c r="Q8" s="273">
        <f t="shared" ref="Q8:Q303" si="3">if(J8=0,"",MIN(
  P8*G8,
  IF(LEFT(J8,12)="Ukuran Biasa",
     40000,
     IF(LEFT(J8,13)="Ukuran Khusus",
        60000,
        NA()
     )
  )
))</f>
        <v>1250</v>
      </c>
      <c r="R8" s="274">
        <f t="array" ref="R8">if(K8=0,"",INDEX('Biaya Gratis Ongkir Xtra'!$C$7:$C$10, MATCH(K8, 'Biaya Gratis Ongkir Xtra'!$B$7:$B$10, 0)))</f>
        <v>0.065</v>
      </c>
      <c r="S8" s="275">
        <f t="shared" ref="S8:S303" si="4">if(K8=0,"",MIN(
  R8*G8,
  IF(K8="Promo Xtra+",80000,60000)
))</f>
        <v>8125</v>
      </c>
      <c r="T8" s="273">
        <f t="shared" ref="T8:T11" si="5">if(C8=0,"",1250)</f>
        <v>1250</v>
      </c>
      <c r="U8" s="276">
        <f t="array" ref="U8">if(C8=0,"",INDEX('Biaya Gratis Ongkir Xtra'!$C$3:$C$4, MATCH(L8, 'Biaya Gratis Ongkir Xtra'!$B$3:$B$4, 0)))</f>
        <v>0</v>
      </c>
      <c r="V8" s="275">
        <f t="shared" ref="V8:V303" si="6">if(C8=0,"",U8*G8)</f>
        <v>0</v>
      </c>
      <c r="W8" s="264"/>
      <c r="X8" s="277">
        <f t="shared" ref="X8:X303" si="7">if(C8=0,"",O8+Q8+S8+T8+V8)</f>
        <v>20937.5</v>
      </c>
      <c r="Y8" s="278">
        <f t="shared" ref="Y8:Y303" si="8">if(C8=0,"",F8*G8)</f>
        <v>12500</v>
      </c>
      <c r="Z8" s="279">
        <f t="shared" ref="Z8:Z303" si="9">if(C8=0,"",G8-X8)</f>
        <v>104062.5</v>
      </c>
      <c r="AA8" s="277">
        <f t="shared" ref="AA8:AA303" si="10">if(C8=0,"",Z8*0.5%)</f>
        <v>520.3125</v>
      </c>
      <c r="AB8" s="279">
        <f t="shared" ref="AB8:AB303" si="11">if(C8=0,"",Z8-C8)</f>
        <v>4062.5</v>
      </c>
      <c r="AC8" s="280">
        <f t="shared" ref="AC8:AC303" si="12">if(C8=0,"",G8+X8+AA8+Y8)</f>
        <v>158957.8125</v>
      </c>
      <c r="AD8" s="281"/>
      <c r="AE8" s="22"/>
    </row>
    <row r="9">
      <c r="A9" s="264"/>
      <c r="B9" s="265" t="s">
        <v>646</v>
      </c>
      <c r="C9" s="265">
        <v>100000.0</v>
      </c>
      <c r="D9" s="265">
        <v>63933.0</v>
      </c>
      <c r="E9" s="265"/>
      <c r="F9" s="266">
        <v>0.1</v>
      </c>
      <c r="G9" s="267">
        <f t="shared" si="1"/>
        <v>163933</v>
      </c>
      <c r="H9" s="264"/>
      <c r="I9" s="268" t="s">
        <v>156</v>
      </c>
      <c r="J9" s="268" t="s">
        <v>563</v>
      </c>
      <c r="K9" s="268" t="s">
        <v>48</v>
      </c>
      <c r="L9" s="268" t="s">
        <v>551</v>
      </c>
      <c r="M9" s="269"/>
      <c r="N9" s="270">
        <f t="array" ref="N9">if(C9=0,"",INDEX('Biaya Administrasi'!E:E, MATCH(I9, 'Biaya Administrasi'!B:B, 0)))</f>
        <v>0.0825</v>
      </c>
      <c r="O9" s="271">
        <f t="shared" si="2"/>
        <v>13524.4725</v>
      </c>
      <c r="P9" s="272">
        <f t="array" ref="P9">if(J9=0,"",INDEX('Biaya Gratis Ongkir Xtra'!D:D, MATCH(J9, 'Biaya Gratis Ongkir Xtra'!C:C, 0)))</f>
        <v>0.035</v>
      </c>
      <c r="Q9" s="273">
        <f t="shared" si="3"/>
        <v>5737.655</v>
      </c>
      <c r="R9" s="274">
        <f t="array" ref="R9">if(K9=0,"",INDEX('Biaya Gratis Ongkir Xtra'!$C$7:$C$10, MATCH(K9, 'Biaya Gratis Ongkir Xtra'!$B$7:$B$10, 0)))</f>
        <v>0.065</v>
      </c>
      <c r="S9" s="275">
        <f t="shared" si="4"/>
        <v>10655.645</v>
      </c>
      <c r="T9" s="273">
        <f t="shared" si="5"/>
        <v>1250</v>
      </c>
      <c r="U9" s="276">
        <f t="array" ref="U9">if(C9=0,"",INDEX('Biaya Gratis Ongkir Xtra'!$C$3:$C$4, MATCH(L9, 'Biaya Gratis Ongkir Xtra'!$B$3:$B$4, 0)))</f>
        <v>0</v>
      </c>
      <c r="V9" s="275">
        <f t="shared" si="6"/>
        <v>0</v>
      </c>
      <c r="W9" s="264"/>
      <c r="X9" s="277">
        <f t="shared" si="7"/>
        <v>31167.7725</v>
      </c>
      <c r="Y9" s="278">
        <f t="shared" si="8"/>
        <v>16393.3</v>
      </c>
      <c r="Z9" s="279">
        <f t="shared" si="9"/>
        <v>132765.2275</v>
      </c>
      <c r="AA9" s="277">
        <f t="shared" si="10"/>
        <v>663.8261375</v>
      </c>
      <c r="AB9" s="279">
        <f t="shared" si="11"/>
        <v>32765.2275</v>
      </c>
      <c r="AC9" s="280">
        <f t="shared" si="12"/>
        <v>212157.8986</v>
      </c>
      <c r="AD9" s="281"/>
      <c r="AE9" s="22"/>
    </row>
    <row r="10">
      <c r="A10" s="264"/>
      <c r="B10" s="265" t="s">
        <v>647</v>
      </c>
      <c r="C10" s="265">
        <v>150000.0</v>
      </c>
      <c r="D10" s="265">
        <v>30000.0</v>
      </c>
      <c r="E10" s="265"/>
      <c r="F10" s="266">
        <v>0.1</v>
      </c>
      <c r="G10" s="267">
        <f t="shared" si="1"/>
        <v>180000</v>
      </c>
      <c r="H10" s="264"/>
      <c r="I10" s="268" t="s">
        <v>355</v>
      </c>
      <c r="J10" s="268" t="s">
        <v>563</v>
      </c>
      <c r="K10" s="268" t="s">
        <v>555</v>
      </c>
      <c r="L10" s="268" t="s">
        <v>551</v>
      </c>
      <c r="M10" s="269"/>
      <c r="N10" s="270">
        <f t="array" ref="N10">if(C10=0,"",INDEX('Biaya Administrasi'!E:E, MATCH(I10, 'Biaya Administrasi'!B:B, 0)))</f>
        <v>0.09</v>
      </c>
      <c r="O10" s="271">
        <f t="shared" si="2"/>
        <v>16200</v>
      </c>
      <c r="P10" s="272">
        <f t="array" ref="P10">if(J10=0,"",INDEX('Biaya Gratis Ongkir Xtra'!D:D, MATCH(J10, 'Biaya Gratis Ongkir Xtra'!C:C, 0)))</f>
        <v>0.035</v>
      </c>
      <c r="Q10" s="273">
        <f t="shared" si="3"/>
        <v>6300</v>
      </c>
      <c r="R10" s="274">
        <f t="array" ref="R10">if(K10=0,"",INDEX('Biaya Gratis Ongkir Xtra'!$C$7:$C$10, MATCH(K10, 'Biaya Gratis Ongkir Xtra'!$B$7:$B$10, 0)))</f>
        <v>0.045</v>
      </c>
      <c r="S10" s="275">
        <f t="shared" si="4"/>
        <v>8100</v>
      </c>
      <c r="T10" s="273">
        <f t="shared" si="5"/>
        <v>1250</v>
      </c>
      <c r="U10" s="276">
        <f t="array" ref="U10">if(C10=0,"",INDEX('Biaya Gratis Ongkir Xtra'!$C$3:$C$4, MATCH(L10, 'Biaya Gratis Ongkir Xtra'!$B$3:$B$4, 0)))</f>
        <v>0</v>
      </c>
      <c r="V10" s="275">
        <f t="shared" si="6"/>
        <v>0</v>
      </c>
      <c r="W10" s="264"/>
      <c r="X10" s="277">
        <f t="shared" si="7"/>
        <v>31850</v>
      </c>
      <c r="Y10" s="278">
        <f t="shared" si="8"/>
        <v>18000</v>
      </c>
      <c r="Z10" s="279">
        <f t="shared" si="9"/>
        <v>148150</v>
      </c>
      <c r="AA10" s="277">
        <f t="shared" si="10"/>
        <v>740.75</v>
      </c>
      <c r="AB10" s="279">
        <f t="shared" si="11"/>
        <v>-1850</v>
      </c>
      <c r="AC10" s="280">
        <f t="shared" si="12"/>
        <v>230590.75</v>
      </c>
      <c r="AD10" s="281"/>
      <c r="AE10" s="22"/>
    </row>
    <row r="11">
      <c r="A11" s="264"/>
      <c r="B11" s="265" t="s">
        <v>648</v>
      </c>
      <c r="C11" s="265">
        <v>1600000.0</v>
      </c>
      <c r="D11" s="265">
        <v>200000.0</v>
      </c>
      <c r="E11" s="265"/>
      <c r="F11" s="266">
        <v>0.1</v>
      </c>
      <c r="G11" s="267">
        <f t="shared" si="1"/>
        <v>1800000</v>
      </c>
      <c r="H11" s="264"/>
      <c r="I11" s="268" t="s">
        <v>373</v>
      </c>
      <c r="J11" s="268" t="s">
        <v>573</v>
      </c>
      <c r="K11" s="268" t="s">
        <v>48</v>
      </c>
      <c r="L11" s="268" t="s">
        <v>551</v>
      </c>
      <c r="M11" s="269"/>
      <c r="N11" s="270">
        <f t="array" ref="N11">if(C11=0,"",INDEX('Biaya Administrasi'!E:E, MATCH(I11, 'Biaya Administrasi'!B:B, 0)))</f>
        <v>0.0525</v>
      </c>
      <c r="O11" s="271">
        <f t="shared" si="2"/>
        <v>94500</v>
      </c>
      <c r="P11" s="272">
        <f t="array" ref="P11">if(J11=0,"",INDEX('Biaya Gratis Ongkir Xtra'!D:D, MATCH(J11, 'Biaya Gratis Ongkir Xtra'!C:C, 0)))</f>
        <v>0.05</v>
      </c>
      <c r="Q11" s="273">
        <f t="shared" si="3"/>
        <v>60000</v>
      </c>
      <c r="R11" s="274">
        <f t="array" ref="R11">if(K11=0,"",INDEX('Biaya Gratis Ongkir Xtra'!$C$7:$C$10, MATCH(K11, 'Biaya Gratis Ongkir Xtra'!$B$7:$B$10, 0)))</f>
        <v>0.065</v>
      </c>
      <c r="S11" s="275">
        <f t="shared" si="4"/>
        <v>80000</v>
      </c>
      <c r="T11" s="273">
        <f t="shared" si="5"/>
        <v>1250</v>
      </c>
      <c r="U11" s="276">
        <f t="array" ref="U11">if(C11=0,"",INDEX('Biaya Gratis Ongkir Xtra'!$C$3:$C$4, MATCH(L11, 'Biaya Gratis Ongkir Xtra'!$B$3:$B$4, 0)))</f>
        <v>0</v>
      </c>
      <c r="V11" s="275">
        <f t="shared" si="6"/>
        <v>0</v>
      </c>
      <c r="W11" s="264"/>
      <c r="X11" s="277">
        <f t="shared" si="7"/>
        <v>235750</v>
      </c>
      <c r="Y11" s="278">
        <f t="shared" si="8"/>
        <v>180000</v>
      </c>
      <c r="Z11" s="279">
        <f t="shared" si="9"/>
        <v>1564250</v>
      </c>
      <c r="AA11" s="277">
        <f t="shared" si="10"/>
        <v>7821.25</v>
      </c>
      <c r="AB11" s="279">
        <f t="shared" si="11"/>
        <v>-35750</v>
      </c>
      <c r="AC11" s="280">
        <f t="shared" si="12"/>
        <v>2223571.25</v>
      </c>
      <c r="AD11" s="281"/>
      <c r="AE11" s="22"/>
    </row>
    <row r="12">
      <c r="A12" s="264"/>
      <c r="B12" s="265" t="s">
        <v>649</v>
      </c>
      <c r="C12" s="265">
        <v>26672.0</v>
      </c>
      <c r="D12" s="265"/>
      <c r="E12" s="265"/>
      <c r="F12" s="266"/>
      <c r="G12" s="267">
        <f t="shared" si="1"/>
        <v>26672</v>
      </c>
      <c r="H12" s="264"/>
      <c r="I12" s="268" t="s">
        <v>277</v>
      </c>
      <c r="J12" s="268" t="s">
        <v>565</v>
      </c>
      <c r="K12" s="268" t="s">
        <v>555</v>
      </c>
      <c r="L12" s="268" t="s">
        <v>551</v>
      </c>
      <c r="M12" s="269"/>
      <c r="N12" s="270">
        <f t="array" ref="N12">if(C12=0,"",INDEX('Biaya Administrasi'!E:E, MATCH(I12, 'Biaya Administrasi'!B:B, 0)))</f>
        <v>0.1</v>
      </c>
      <c r="O12" s="271">
        <f t="shared" si="2"/>
        <v>2667.2</v>
      </c>
      <c r="P12" s="272">
        <f t="array" ref="P12">if(J12=0,"",INDEX('Biaya Gratis Ongkir Xtra'!D:D, MATCH(J12, 'Biaya Gratis Ongkir Xtra'!C:C, 0)))</f>
        <v>0.06</v>
      </c>
      <c r="Q12" s="273">
        <f t="shared" si="3"/>
        <v>1600.32</v>
      </c>
      <c r="R12" s="274">
        <f t="array" ref="R12">if(K12=0,"",INDEX('Biaya Gratis Ongkir Xtra'!$C$7:$C$10, MATCH(K12, 'Biaya Gratis Ongkir Xtra'!$B$7:$B$10, 0)))</f>
        <v>0.045</v>
      </c>
      <c r="S12" s="275">
        <f t="shared" si="4"/>
        <v>1200.24</v>
      </c>
      <c r="T12" s="273"/>
      <c r="U12" s="276">
        <f t="array" ref="U12">if(C12=0,"",INDEX('Biaya Gratis Ongkir Xtra'!$C$3:$C$4, MATCH(L12, 'Biaya Gratis Ongkir Xtra'!$B$3:$B$4, 0)))</f>
        <v>0</v>
      </c>
      <c r="V12" s="275">
        <f t="shared" si="6"/>
        <v>0</v>
      </c>
      <c r="W12" s="264"/>
      <c r="X12" s="277">
        <f t="shared" si="7"/>
        <v>5467.76</v>
      </c>
      <c r="Y12" s="278">
        <f t="shared" si="8"/>
        <v>0</v>
      </c>
      <c r="Z12" s="279">
        <f t="shared" si="9"/>
        <v>21204.24</v>
      </c>
      <c r="AA12" s="277">
        <f t="shared" si="10"/>
        <v>106.0212</v>
      </c>
      <c r="AB12" s="279">
        <f t="shared" si="11"/>
        <v>-5467.76</v>
      </c>
      <c r="AC12" s="280">
        <f t="shared" si="12"/>
        <v>32245.7812</v>
      </c>
      <c r="AD12" s="281"/>
      <c r="AE12" s="22"/>
    </row>
    <row r="13">
      <c r="A13" s="264"/>
      <c r="B13" s="265" t="s">
        <v>650</v>
      </c>
      <c r="C13" s="265">
        <v>273575.0</v>
      </c>
      <c r="D13" s="265"/>
      <c r="E13" s="265">
        <v>3000.0</v>
      </c>
      <c r="F13" s="266"/>
      <c r="G13" s="267">
        <f t="shared" si="1"/>
        <v>270575</v>
      </c>
      <c r="H13" s="264"/>
      <c r="I13" s="268" t="s">
        <v>348</v>
      </c>
      <c r="J13" s="268" t="s">
        <v>574</v>
      </c>
      <c r="K13" s="268" t="s">
        <v>555</v>
      </c>
      <c r="L13" s="268" t="s">
        <v>551</v>
      </c>
      <c r="M13" s="269"/>
      <c r="N13" s="270">
        <f t="array" ref="N13">if(C13=0,"",INDEX('Biaya Administrasi'!E:E, MATCH(I13, 'Biaya Administrasi'!B:B, 0)))</f>
        <v>0.065</v>
      </c>
      <c r="O13" s="271">
        <f t="shared" si="2"/>
        <v>17587.375</v>
      </c>
      <c r="P13" s="272">
        <f t="array" ref="P13">if(J13=0,"",INDEX('Biaya Gratis Ongkir Xtra'!D:D, MATCH(J13, 'Biaya Gratis Ongkir Xtra'!C:C, 0)))</f>
        <v>0.07</v>
      </c>
      <c r="Q13" s="273">
        <f t="shared" si="3"/>
        <v>18940.25</v>
      </c>
      <c r="R13" s="274">
        <f t="array" ref="R13">if(K13=0,"",INDEX('Biaya Gratis Ongkir Xtra'!$C$7:$C$10, MATCH(K13, 'Biaya Gratis Ongkir Xtra'!$B$7:$B$10, 0)))</f>
        <v>0.045</v>
      </c>
      <c r="S13" s="275">
        <f t="shared" si="4"/>
        <v>12175.875</v>
      </c>
      <c r="T13" s="273">
        <f t="shared" ref="T13:T303" si="13">if(C13=0,"",1250)</f>
        <v>1250</v>
      </c>
      <c r="U13" s="276">
        <f t="array" ref="U13">if(C13=0,"",INDEX('Biaya Gratis Ongkir Xtra'!$C$3:$C$4, MATCH(L13, 'Biaya Gratis Ongkir Xtra'!$B$3:$B$4, 0)))</f>
        <v>0</v>
      </c>
      <c r="V13" s="275">
        <f t="shared" si="6"/>
        <v>0</v>
      </c>
      <c r="W13" s="264"/>
      <c r="X13" s="277">
        <f t="shared" si="7"/>
        <v>49953.5</v>
      </c>
      <c r="Y13" s="278">
        <f t="shared" si="8"/>
        <v>0</v>
      </c>
      <c r="Z13" s="279">
        <f t="shared" si="9"/>
        <v>220621.5</v>
      </c>
      <c r="AA13" s="277">
        <f t="shared" si="10"/>
        <v>1103.1075</v>
      </c>
      <c r="AB13" s="279">
        <f t="shared" si="11"/>
        <v>-52953.5</v>
      </c>
      <c r="AC13" s="280">
        <f t="shared" si="12"/>
        <v>321631.6075</v>
      </c>
      <c r="AD13" s="281"/>
      <c r="AE13" s="22"/>
    </row>
    <row r="14">
      <c r="A14" s="264"/>
      <c r="B14" s="265" t="s">
        <v>651</v>
      </c>
      <c r="C14" s="265">
        <v>265000.0</v>
      </c>
      <c r="D14" s="265">
        <v>0.0</v>
      </c>
      <c r="E14" s="265">
        <v>3000.0</v>
      </c>
      <c r="F14" s="266"/>
      <c r="G14" s="267">
        <f t="shared" si="1"/>
        <v>262000</v>
      </c>
      <c r="H14" s="264"/>
      <c r="I14" s="268" t="s">
        <v>348</v>
      </c>
      <c r="J14" s="268" t="s">
        <v>564</v>
      </c>
      <c r="K14" s="268" t="s">
        <v>555</v>
      </c>
      <c r="L14" s="268" t="s">
        <v>551</v>
      </c>
      <c r="M14" s="269"/>
      <c r="N14" s="270">
        <f t="array" ref="N14">if(C14=0,"",INDEX('Biaya Administrasi'!E:E, MATCH(I14, 'Biaya Administrasi'!B:B, 0)))</f>
        <v>0.065</v>
      </c>
      <c r="O14" s="271">
        <f t="shared" si="2"/>
        <v>17030</v>
      </c>
      <c r="P14" s="272">
        <f t="array" ref="P14">if(J14=0,"",INDEX('Biaya Gratis Ongkir Xtra'!D:D, MATCH(J14, 'Biaya Gratis Ongkir Xtra'!C:C, 0)))</f>
        <v>0.055</v>
      </c>
      <c r="Q14" s="273">
        <f t="shared" si="3"/>
        <v>14410</v>
      </c>
      <c r="R14" s="274">
        <f t="array" ref="R14">if(K14=0,"",INDEX('Biaya Gratis Ongkir Xtra'!$C$7:$C$10, MATCH(K14, 'Biaya Gratis Ongkir Xtra'!$B$7:$B$10, 0)))</f>
        <v>0.045</v>
      </c>
      <c r="S14" s="275">
        <f t="shared" si="4"/>
        <v>11790</v>
      </c>
      <c r="T14" s="273">
        <f t="shared" si="13"/>
        <v>1250</v>
      </c>
      <c r="U14" s="276">
        <f t="array" ref="U14">if(C14=0,"",INDEX('Biaya Gratis Ongkir Xtra'!$C$3:$C$4, MATCH(L14, 'Biaya Gratis Ongkir Xtra'!$B$3:$B$4, 0)))</f>
        <v>0</v>
      </c>
      <c r="V14" s="275">
        <f t="shared" si="6"/>
        <v>0</v>
      </c>
      <c r="W14" s="264"/>
      <c r="X14" s="277">
        <f t="shared" si="7"/>
        <v>44480</v>
      </c>
      <c r="Y14" s="278">
        <f t="shared" si="8"/>
        <v>0</v>
      </c>
      <c r="Z14" s="279">
        <f t="shared" si="9"/>
        <v>217520</v>
      </c>
      <c r="AA14" s="277">
        <f t="shared" si="10"/>
        <v>1087.6</v>
      </c>
      <c r="AB14" s="279">
        <f t="shared" si="11"/>
        <v>-47480</v>
      </c>
      <c r="AC14" s="280">
        <f t="shared" si="12"/>
        <v>307567.6</v>
      </c>
      <c r="AD14" s="281"/>
      <c r="AE14" s="22"/>
    </row>
    <row r="15">
      <c r="A15" s="264"/>
      <c r="B15" s="267"/>
      <c r="C15" s="265">
        <v>265000.0</v>
      </c>
      <c r="D15" s="265">
        <f>44975+7421+1224+202+34+5+1</f>
        <v>53862</v>
      </c>
      <c r="E15" s="265"/>
      <c r="F15" s="266"/>
      <c r="G15" s="267">
        <f t="shared" si="1"/>
        <v>318862</v>
      </c>
      <c r="H15" s="264"/>
      <c r="I15" s="268" t="s">
        <v>348</v>
      </c>
      <c r="J15" s="268" t="s">
        <v>564</v>
      </c>
      <c r="K15" s="268" t="s">
        <v>555</v>
      </c>
      <c r="L15" s="268" t="s">
        <v>551</v>
      </c>
      <c r="M15" s="269"/>
      <c r="N15" s="270">
        <f t="array" ref="N15">if(C15=0,"",INDEX('Biaya Administrasi'!E:E, MATCH(I15, 'Biaya Administrasi'!B:B, 0)))</f>
        <v>0.065</v>
      </c>
      <c r="O15" s="271">
        <f t="shared" si="2"/>
        <v>20726.03</v>
      </c>
      <c r="P15" s="272">
        <f t="array" ref="P15">if(J15=0,"",INDEX('Biaya Gratis Ongkir Xtra'!D:D, MATCH(J15, 'Biaya Gratis Ongkir Xtra'!C:C, 0)))</f>
        <v>0.055</v>
      </c>
      <c r="Q15" s="273">
        <f t="shared" si="3"/>
        <v>17537.41</v>
      </c>
      <c r="R15" s="274">
        <f t="array" ref="R15">if(K15=0,"",INDEX('Biaya Gratis Ongkir Xtra'!$C$7:$C$10, MATCH(K15, 'Biaya Gratis Ongkir Xtra'!$B$7:$B$10, 0)))</f>
        <v>0.045</v>
      </c>
      <c r="S15" s="275">
        <f t="shared" si="4"/>
        <v>14348.79</v>
      </c>
      <c r="T15" s="273">
        <f t="shared" si="13"/>
        <v>1250</v>
      </c>
      <c r="U15" s="276">
        <f t="array" ref="U15">if(C15=0,"",INDEX('Biaya Gratis Ongkir Xtra'!$C$3:$C$4, MATCH(L15, 'Biaya Gratis Ongkir Xtra'!$B$3:$B$4, 0)))</f>
        <v>0</v>
      </c>
      <c r="V15" s="275">
        <f t="shared" si="6"/>
        <v>0</v>
      </c>
      <c r="W15" s="264"/>
      <c r="X15" s="277">
        <f t="shared" si="7"/>
        <v>53862.23</v>
      </c>
      <c r="Y15" s="278">
        <f t="shared" si="8"/>
        <v>0</v>
      </c>
      <c r="Z15" s="279">
        <f t="shared" si="9"/>
        <v>264999.77</v>
      </c>
      <c r="AA15" s="277">
        <f t="shared" si="10"/>
        <v>1324.99885</v>
      </c>
      <c r="AB15" s="279">
        <f t="shared" si="11"/>
        <v>-0.23</v>
      </c>
      <c r="AC15" s="280">
        <f t="shared" si="12"/>
        <v>374049.2289</v>
      </c>
      <c r="AD15" s="281"/>
      <c r="AE15" s="22"/>
    </row>
    <row r="16">
      <c r="A16" s="264"/>
      <c r="B16" s="267"/>
      <c r="C16" s="265"/>
      <c r="D16" s="265"/>
      <c r="E16" s="265"/>
      <c r="F16" s="266"/>
      <c r="G16" s="267" t="str">
        <f t="shared" si="1"/>
        <v/>
      </c>
      <c r="H16" s="264"/>
      <c r="I16" s="282"/>
      <c r="J16" s="282"/>
      <c r="K16" s="282"/>
      <c r="L16" s="282"/>
      <c r="M16" s="269"/>
      <c r="N16" s="283" t="str">
        <f t="array" ref="N16">if(C16=0,"",INDEX('Biaya Administrasi'!E:E, MATCH(I16, 'Biaya Administrasi'!B:B, 0)))</f>
        <v/>
      </c>
      <c r="O16" s="284" t="str">
        <f t="shared" si="2"/>
        <v/>
      </c>
      <c r="P16" s="285" t="str">
        <f t="array" ref="P16">if(J16=0,"",INDEX('Biaya Gratis Ongkir Xtra'!D:D, MATCH(J16, 'Biaya Gratis Ongkir Xtra'!C:C, 0)))</f>
        <v/>
      </c>
      <c r="Q16" s="286" t="str">
        <f t="shared" si="3"/>
        <v/>
      </c>
      <c r="R16" s="287" t="str">
        <f t="array" ref="R16">if(K16=0,"",INDEX('Biaya Gratis Ongkir Xtra'!$C$7:$C$10, MATCH(K16, 'Biaya Gratis Ongkir Xtra'!$B$7:$B$10, 0)))</f>
        <v/>
      </c>
      <c r="S16" s="288" t="str">
        <f t="shared" si="4"/>
        <v/>
      </c>
      <c r="T16" s="273" t="str">
        <f t="shared" si="13"/>
        <v/>
      </c>
      <c r="U16" s="287" t="str">
        <f t="array" ref="U16">if(C16=0,"",INDEX('Biaya Gratis Ongkir Xtra'!$C$3:$C$4, MATCH(L16, 'Biaya Gratis Ongkir Xtra'!$B$3:$B$4, 0)))</f>
        <v/>
      </c>
      <c r="V16" s="288" t="str">
        <f t="shared" si="6"/>
        <v/>
      </c>
      <c r="W16" s="264"/>
      <c r="X16" s="289" t="str">
        <f t="shared" si="7"/>
        <v/>
      </c>
      <c r="Y16" s="290" t="str">
        <f t="shared" si="8"/>
        <v/>
      </c>
      <c r="Z16" s="291" t="str">
        <f t="shared" si="9"/>
        <v/>
      </c>
      <c r="AA16" s="289" t="str">
        <f t="shared" si="10"/>
        <v/>
      </c>
      <c r="AB16" s="291" t="str">
        <f t="shared" si="11"/>
        <v/>
      </c>
      <c r="AC16" s="292" t="str">
        <f t="shared" si="12"/>
        <v/>
      </c>
      <c r="AD16" s="281"/>
      <c r="AE16" s="22"/>
    </row>
    <row r="17">
      <c r="A17" s="264"/>
      <c r="B17" s="267"/>
      <c r="C17" s="265"/>
      <c r="D17" s="265"/>
      <c r="E17" s="265"/>
      <c r="F17" s="266"/>
      <c r="G17" s="267" t="str">
        <f t="shared" si="1"/>
        <v/>
      </c>
      <c r="H17" s="264"/>
      <c r="I17" s="282"/>
      <c r="J17" s="282"/>
      <c r="K17" s="282"/>
      <c r="L17" s="282"/>
      <c r="M17" s="269"/>
      <c r="N17" s="283" t="str">
        <f t="array" ref="N17">if(C17=0,"",INDEX('Biaya Administrasi'!E:E, MATCH(I17, 'Biaya Administrasi'!B:B, 0)))</f>
        <v/>
      </c>
      <c r="O17" s="284" t="str">
        <f t="shared" si="2"/>
        <v/>
      </c>
      <c r="P17" s="285" t="str">
        <f t="array" ref="P17">if(J17=0,"",INDEX('Biaya Gratis Ongkir Xtra'!D:D, MATCH(J17, 'Biaya Gratis Ongkir Xtra'!C:C, 0)))</f>
        <v/>
      </c>
      <c r="Q17" s="286" t="str">
        <f t="shared" si="3"/>
        <v/>
      </c>
      <c r="R17" s="287" t="str">
        <f t="array" ref="R17">if(K17=0,"",INDEX('Biaya Gratis Ongkir Xtra'!$C$7:$C$10, MATCH(K17, 'Biaya Gratis Ongkir Xtra'!$B$7:$B$10, 0)))</f>
        <v/>
      </c>
      <c r="S17" s="288" t="str">
        <f t="shared" si="4"/>
        <v/>
      </c>
      <c r="T17" s="273" t="str">
        <f t="shared" si="13"/>
        <v/>
      </c>
      <c r="U17" s="287" t="str">
        <f t="array" ref="U17">if(C17=0,"",INDEX('Biaya Gratis Ongkir Xtra'!$C$3:$C$4, MATCH(L17, 'Biaya Gratis Ongkir Xtra'!$B$3:$B$4, 0)))</f>
        <v/>
      </c>
      <c r="V17" s="288" t="str">
        <f t="shared" si="6"/>
        <v/>
      </c>
      <c r="W17" s="264"/>
      <c r="X17" s="289" t="str">
        <f t="shared" si="7"/>
        <v/>
      </c>
      <c r="Y17" s="290" t="str">
        <f t="shared" si="8"/>
        <v/>
      </c>
      <c r="Z17" s="291" t="str">
        <f t="shared" si="9"/>
        <v/>
      </c>
      <c r="AA17" s="289" t="str">
        <f t="shared" si="10"/>
        <v/>
      </c>
      <c r="AB17" s="291" t="str">
        <f t="shared" si="11"/>
        <v/>
      </c>
      <c r="AC17" s="292" t="str">
        <f t="shared" si="12"/>
        <v/>
      </c>
      <c r="AD17" s="281"/>
      <c r="AE17" s="22"/>
    </row>
    <row r="18">
      <c r="A18" s="264"/>
      <c r="B18" s="267"/>
      <c r="C18" s="265"/>
      <c r="D18" s="265"/>
      <c r="E18" s="265"/>
      <c r="F18" s="266"/>
      <c r="G18" s="267" t="str">
        <f t="shared" si="1"/>
        <v/>
      </c>
      <c r="H18" s="264"/>
      <c r="I18" s="282"/>
      <c r="J18" s="282"/>
      <c r="K18" s="282"/>
      <c r="L18" s="282"/>
      <c r="M18" s="269"/>
      <c r="N18" s="283" t="str">
        <f t="array" ref="N18">if(C18=0,"",INDEX('Biaya Administrasi'!E:E, MATCH(I18, 'Biaya Administrasi'!B:B, 0)))</f>
        <v/>
      </c>
      <c r="O18" s="284" t="str">
        <f t="shared" si="2"/>
        <v/>
      </c>
      <c r="P18" s="285" t="str">
        <f t="array" ref="P18">if(J18=0,"",INDEX('Biaya Gratis Ongkir Xtra'!D:D, MATCH(J18, 'Biaya Gratis Ongkir Xtra'!C:C, 0)))</f>
        <v/>
      </c>
      <c r="Q18" s="286" t="str">
        <f t="shared" si="3"/>
        <v/>
      </c>
      <c r="R18" s="287" t="str">
        <f t="array" ref="R18">if(K18=0,"",INDEX('Biaya Gratis Ongkir Xtra'!$C$7:$C$10, MATCH(K18, 'Biaya Gratis Ongkir Xtra'!$B$7:$B$10, 0)))</f>
        <v/>
      </c>
      <c r="S18" s="288" t="str">
        <f t="shared" si="4"/>
        <v/>
      </c>
      <c r="T18" s="273" t="str">
        <f t="shared" si="13"/>
        <v/>
      </c>
      <c r="U18" s="287" t="str">
        <f t="array" ref="U18">if(C18=0,"",INDEX('Biaya Gratis Ongkir Xtra'!$C$3:$C$4, MATCH(L18, 'Biaya Gratis Ongkir Xtra'!$B$3:$B$4, 0)))</f>
        <v/>
      </c>
      <c r="V18" s="288" t="str">
        <f t="shared" si="6"/>
        <v/>
      </c>
      <c r="W18" s="264"/>
      <c r="X18" s="289" t="str">
        <f t="shared" si="7"/>
        <v/>
      </c>
      <c r="Y18" s="290" t="str">
        <f t="shared" si="8"/>
        <v/>
      </c>
      <c r="Z18" s="291" t="str">
        <f t="shared" si="9"/>
        <v/>
      </c>
      <c r="AA18" s="289" t="str">
        <f t="shared" si="10"/>
        <v/>
      </c>
      <c r="AB18" s="291" t="str">
        <f t="shared" si="11"/>
        <v/>
      </c>
      <c r="AC18" s="292" t="str">
        <f t="shared" si="12"/>
        <v/>
      </c>
      <c r="AD18" s="281"/>
      <c r="AE18" s="22"/>
    </row>
    <row r="19">
      <c r="A19" s="264"/>
      <c r="B19" s="267"/>
      <c r="C19" s="265"/>
      <c r="D19" s="265"/>
      <c r="E19" s="265"/>
      <c r="F19" s="266"/>
      <c r="G19" s="267" t="str">
        <f t="shared" si="1"/>
        <v/>
      </c>
      <c r="H19" s="264"/>
      <c r="I19" s="282"/>
      <c r="J19" s="282"/>
      <c r="K19" s="282"/>
      <c r="L19" s="282"/>
      <c r="M19" s="269"/>
      <c r="N19" s="283" t="str">
        <f t="array" ref="N19">if(C19=0,"",INDEX('Biaya Administrasi'!E:E, MATCH(I19, 'Biaya Administrasi'!B:B, 0)))</f>
        <v/>
      </c>
      <c r="O19" s="284" t="str">
        <f t="shared" si="2"/>
        <v/>
      </c>
      <c r="P19" s="285" t="str">
        <f t="array" ref="P19">if(J19=0,"",INDEX('Biaya Gratis Ongkir Xtra'!D:D, MATCH(J19, 'Biaya Gratis Ongkir Xtra'!C:C, 0)))</f>
        <v/>
      </c>
      <c r="Q19" s="286" t="str">
        <f t="shared" si="3"/>
        <v/>
      </c>
      <c r="R19" s="287" t="str">
        <f t="array" ref="R19">if(K19=0,"",INDEX('Biaya Gratis Ongkir Xtra'!$C$7:$C$10, MATCH(K19, 'Biaya Gratis Ongkir Xtra'!$B$7:$B$10, 0)))</f>
        <v/>
      </c>
      <c r="S19" s="288" t="str">
        <f t="shared" si="4"/>
        <v/>
      </c>
      <c r="T19" s="273" t="str">
        <f t="shared" si="13"/>
        <v/>
      </c>
      <c r="U19" s="287" t="str">
        <f t="array" ref="U19">if(C19=0,"",INDEX('Biaya Gratis Ongkir Xtra'!$C$3:$C$4, MATCH(L19, 'Biaya Gratis Ongkir Xtra'!$B$3:$B$4, 0)))</f>
        <v/>
      </c>
      <c r="V19" s="288" t="str">
        <f t="shared" si="6"/>
        <v/>
      </c>
      <c r="W19" s="264"/>
      <c r="X19" s="289" t="str">
        <f t="shared" si="7"/>
        <v/>
      </c>
      <c r="Y19" s="290" t="str">
        <f t="shared" si="8"/>
        <v/>
      </c>
      <c r="Z19" s="291" t="str">
        <f t="shared" si="9"/>
        <v/>
      </c>
      <c r="AA19" s="289" t="str">
        <f t="shared" si="10"/>
        <v/>
      </c>
      <c r="AB19" s="291" t="str">
        <f t="shared" si="11"/>
        <v/>
      </c>
      <c r="AC19" s="292" t="str">
        <f t="shared" si="12"/>
        <v/>
      </c>
      <c r="AD19" s="281"/>
      <c r="AE19" s="22"/>
    </row>
    <row r="20">
      <c r="A20" s="264"/>
      <c r="B20" s="267"/>
      <c r="C20" s="265"/>
      <c r="D20" s="265"/>
      <c r="E20" s="265"/>
      <c r="F20" s="266"/>
      <c r="G20" s="267" t="str">
        <f t="shared" si="1"/>
        <v/>
      </c>
      <c r="H20" s="264"/>
      <c r="I20" s="282"/>
      <c r="J20" s="282"/>
      <c r="K20" s="282"/>
      <c r="L20" s="282"/>
      <c r="M20" s="269"/>
      <c r="N20" s="283" t="str">
        <f t="array" ref="N20">if(C20=0,"",INDEX('Biaya Administrasi'!E:E, MATCH(I20, 'Biaya Administrasi'!B:B, 0)))</f>
        <v/>
      </c>
      <c r="O20" s="284" t="str">
        <f t="shared" si="2"/>
        <v/>
      </c>
      <c r="P20" s="285" t="str">
        <f t="array" ref="P20">if(J20=0,"",INDEX('Biaya Gratis Ongkir Xtra'!D:D, MATCH(J20, 'Biaya Gratis Ongkir Xtra'!C:C, 0)))</f>
        <v/>
      </c>
      <c r="Q20" s="286" t="str">
        <f t="shared" si="3"/>
        <v/>
      </c>
      <c r="R20" s="287" t="str">
        <f t="array" ref="R20">if(K20=0,"",INDEX('Biaya Gratis Ongkir Xtra'!$C$7:$C$10, MATCH(K20, 'Biaya Gratis Ongkir Xtra'!$B$7:$B$10, 0)))</f>
        <v/>
      </c>
      <c r="S20" s="288" t="str">
        <f t="shared" si="4"/>
        <v/>
      </c>
      <c r="T20" s="273" t="str">
        <f t="shared" si="13"/>
        <v/>
      </c>
      <c r="U20" s="287" t="str">
        <f t="array" ref="U20">if(C20=0,"",INDEX('Biaya Gratis Ongkir Xtra'!$C$3:$C$4, MATCH(L20, 'Biaya Gratis Ongkir Xtra'!$B$3:$B$4, 0)))</f>
        <v/>
      </c>
      <c r="V20" s="288" t="str">
        <f t="shared" si="6"/>
        <v/>
      </c>
      <c r="W20" s="264"/>
      <c r="X20" s="289" t="str">
        <f t="shared" si="7"/>
        <v/>
      </c>
      <c r="Y20" s="290" t="str">
        <f t="shared" si="8"/>
        <v/>
      </c>
      <c r="Z20" s="291" t="str">
        <f t="shared" si="9"/>
        <v/>
      </c>
      <c r="AA20" s="289" t="str">
        <f t="shared" si="10"/>
        <v/>
      </c>
      <c r="AB20" s="291" t="str">
        <f t="shared" si="11"/>
        <v/>
      </c>
      <c r="AC20" s="292" t="str">
        <f t="shared" si="12"/>
        <v/>
      </c>
      <c r="AD20" s="281"/>
      <c r="AE20" s="22"/>
    </row>
    <row r="21">
      <c r="A21" s="264"/>
      <c r="B21" s="267"/>
      <c r="C21" s="265"/>
      <c r="D21" s="265"/>
      <c r="E21" s="265"/>
      <c r="F21" s="266"/>
      <c r="G21" s="267" t="str">
        <f t="shared" si="1"/>
        <v/>
      </c>
      <c r="H21" s="264"/>
      <c r="I21" s="282"/>
      <c r="J21" s="282"/>
      <c r="K21" s="282"/>
      <c r="L21" s="282"/>
      <c r="M21" s="269"/>
      <c r="N21" s="283" t="str">
        <f t="array" ref="N21">if(C21=0,"",INDEX('Biaya Administrasi'!E:E, MATCH(I21, 'Biaya Administrasi'!B:B, 0)))</f>
        <v/>
      </c>
      <c r="O21" s="284" t="str">
        <f t="shared" si="2"/>
        <v/>
      </c>
      <c r="P21" s="285" t="str">
        <f t="array" ref="P21">if(J21=0,"",INDEX('Biaya Gratis Ongkir Xtra'!D:D, MATCH(J21, 'Biaya Gratis Ongkir Xtra'!C:C, 0)))</f>
        <v/>
      </c>
      <c r="Q21" s="286" t="str">
        <f t="shared" si="3"/>
        <v/>
      </c>
      <c r="R21" s="287" t="str">
        <f t="array" ref="R21">if(K21=0,"",INDEX('Biaya Gratis Ongkir Xtra'!$C$7:$C$10, MATCH(K21, 'Biaya Gratis Ongkir Xtra'!$B$7:$B$10, 0)))</f>
        <v/>
      </c>
      <c r="S21" s="288" t="str">
        <f t="shared" si="4"/>
        <v/>
      </c>
      <c r="T21" s="273" t="str">
        <f t="shared" si="13"/>
        <v/>
      </c>
      <c r="U21" s="287" t="str">
        <f t="array" ref="U21">if(C21=0,"",INDEX('Biaya Gratis Ongkir Xtra'!$C$3:$C$4, MATCH(L21, 'Biaya Gratis Ongkir Xtra'!$B$3:$B$4, 0)))</f>
        <v/>
      </c>
      <c r="V21" s="288" t="str">
        <f t="shared" si="6"/>
        <v/>
      </c>
      <c r="W21" s="264"/>
      <c r="X21" s="289" t="str">
        <f t="shared" si="7"/>
        <v/>
      </c>
      <c r="Y21" s="290" t="str">
        <f t="shared" si="8"/>
        <v/>
      </c>
      <c r="Z21" s="291" t="str">
        <f t="shared" si="9"/>
        <v/>
      </c>
      <c r="AA21" s="289" t="str">
        <f t="shared" si="10"/>
        <v/>
      </c>
      <c r="AB21" s="291" t="str">
        <f t="shared" si="11"/>
        <v/>
      </c>
      <c r="AC21" s="292" t="str">
        <f t="shared" si="12"/>
        <v/>
      </c>
      <c r="AD21" s="281"/>
      <c r="AE21" s="22"/>
    </row>
    <row r="22">
      <c r="A22" s="264"/>
      <c r="B22" s="267"/>
      <c r="C22" s="265"/>
      <c r="D22" s="265"/>
      <c r="E22" s="265"/>
      <c r="F22" s="266"/>
      <c r="G22" s="267" t="str">
        <f t="shared" si="1"/>
        <v/>
      </c>
      <c r="H22" s="264"/>
      <c r="I22" s="282"/>
      <c r="J22" s="282"/>
      <c r="K22" s="282"/>
      <c r="L22" s="282"/>
      <c r="M22" s="269"/>
      <c r="N22" s="283" t="str">
        <f t="array" ref="N22">if(C22=0,"",INDEX('Biaya Administrasi'!E:E, MATCH(I22, 'Biaya Administrasi'!B:B, 0)))</f>
        <v/>
      </c>
      <c r="O22" s="284" t="str">
        <f t="shared" si="2"/>
        <v/>
      </c>
      <c r="P22" s="285" t="str">
        <f t="array" ref="P22">if(J22=0,"",INDEX('Biaya Gratis Ongkir Xtra'!D:D, MATCH(J22, 'Biaya Gratis Ongkir Xtra'!C:C, 0)))</f>
        <v/>
      </c>
      <c r="Q22" s="286" t="str">
        <f t="shared" si="3"/>
        <v/>
      </c>
      <c r="R22" s="287" t="str">
        <f t="array" ref="R22">if(K22=0,"",INDEX('Biaya Gratis Ongkir Xtra'!$C$7:$C$10, MATCH(K22, 'Biaya Gratis Ongkir Xtra'!$B$7:$B$10, 0)))</f>
        <v/>
      </c>
      <c r="S22" s="288" t="str">
        <f t="shared" si="4"/>
        <v/>
      </c>
      <c r="T22" s="273" t="str">
        <f t="shared" si="13"/>
        <v/>
      </c>
      <c r="U22" s="287" t="str">
        <f t="array" ref="U22">if(C22=0,"",INDEX('Biaya Gratis Ongkir Xtra'!$C$3:$C$4, MATCH(L22, 'Biaya Gratis Ongkir Xtra'!$B$3:$B$4, 0)))</f>
        <v/>
      </c>
      <c r="V22" s="288" t="str">
        <f t="shared" si="6"/>
        <v/>
      </c>
      <c r="W22" s="264"/>
      <c r="X22" s="289" t="str">
        <f t="shared" si="7"/>
        <v/>
      </c>
      <c r="Y22" s="290" t="str">
        <f t="shared" si="8"/>
        <v/>
      </c>
      <c r="Z22" s="291" t="str">
        <f t="shared" si="9"/>
        <v/>
      </c>
      <c r="AA22" s="289" t="str">
        <f t="shared" si="10"/>
        <v/>
      </c>
      <c r="AB22" s="291" t="str">
        <f t="shared" si="11"/>
        <v/>
      </c>
      <c r="AC22" s="292" t="str">
        <f t="shared" si="12"/>
        <v/>
      </c>
      <c r="AD22" s="281"/>
      <c r="AE22" s="22"/>
    </row>
    <row r="23">
      <c r="A23" s="264"/>
      <c r="B23" s="267"/>
      <c r="C23" s="265"/>
      <c r="D23" s="265"/>
      <c r="E23" s="265"/>
      <c r="F23" s="266"/>
      <c r="G23" s="267" t="str">
        <f t="shared" si="1"/>
        <v/>
      </c>
      <c r="H23" s="264"/>
      <c r="I23" s="282"/>
      <c r="J23" s="282"/>
      <c r="K23" s="282"/>
      <c r="L23" s="282"/>
      <c r="M23" s="269"/>
      <c r="N23" s="283" t="str">
        <f t="array" ref="N23">if(C23=0,"",INDEX('Biaya Administrasi'!E:E, MATCH(I23, 'Biaya Administrasi'!B:B, 0)))</f>
        <v/>
      </c>
      <c r="O23" s="284" t="str">
        <f t="shared" si="2"/>
        <v/>
      </c>
      <c r="P23" s="285" t="str">
        <f t="array" ref="P23">if(J23=0,"",INDEX('Biaya Gratis Ongkir Xtra'!D:D, MATCH(J23, 'Biaya Gratis Ongkir Xtra'!C:C, 0)))</f>
        <v/>
      </c>
      <c r="Q23" s="286" t="str">
        <f t="shared" si="3"/>
        <v/>
      </c>
      <c r="R23" s="287" t="str">
        <f t="array" ref="R23">if(K23=0,"",INDEX('Biaya Gratis Ongkir Xtra'!$C$7:$C$10, MATCH(K23, 'Biaya Gratis Ongkir Xtra'!$B$7:$B$10, 0)))</f>
        <v/>
      </c>
      <c r="S23" s="288" t="str">
        <f t="shared" si="4"/>
        <v/>
      </c>
      <c r="T23" s="273" t="str">
        <f t="shared" si="13"/>
        <v/>
      </c>
      <c r="U23" s="287" t="str">
        <f t="array" ref="U23">if(C23=0,"",INDEX('Biaya Gratis Ongkir Xtra'!$C$3:$C$4, MATCH(L23, 'Biaya Gratis Ongkir Xtra'!$B$3:$B$4, 0)))</f>
        <v/>
      </c>
      <c r="V23" s="288" t="str">
        <f t="shared" si="6"/>
        <v/>
      </c>
      <c r="W23" s="264"/>
      <c r="X23" s="289" t="str">
        <f t="shared" si="7"/>
        <v/>
      </c>
      <c r="Y23" s="290" t="str">
        <f t="shared" si="8"/>
        <v/>
      </c>
      <c r="Z23" s="291" t="str">
        <f t="shared" si="9"/>
        <v/>
      </c>
      <c r="AA23" s="289" t="str">
        <f t="shared" si="10"/>
        <v/>
      </c>
      <c r="AB23" s="291" t="str">
        <f t="shared" si="11"/>
        <v/>
      </c>
      <c r="AC23" s="292" t="str">
        <f t="shared" si="12"/>
        <v/>
      </c>
      <c r="AD23" s="281"/>
      <c r="AE23" s="22"/>
    </row>
    <row r="24">
      <c r="A24" s="264"/>
      <c r="B24" s="267"/>
      <c r="C24" s="265"/>
      <c r="D24" s="265"/>
      <c r="E24" s="265"/>
      <c r="F24" s="266"/>
      <c r="G24" s="267" t="str">
        <f t="shared" si="1"/>
        <v/>
      </c>
      <c r="H24" s="264"/>
      <c r="I24" s="282"/>
      <c r="J24" s="282"/>
      <c r="K24" s="282"/>
      <c r="L24" s="282"/>
      <c r="M24" s="269"/>
      <c r="N24" s="283" t="str">
        <f t="array" ref="N24">if(C24=0,"",INDEX('Biaya Administrasi'!E:E, MATCH(I24, 'Biaya Administrasi'!B:B, 0)))</f>
        <v/>
      </c>
      <c r="O24" s="284" t="str">
        <f t="shared" si="2"/>
        <v/>
      </c>
      <c r="P24" s="285" t="str">
        <f t="array" ref="P24">if(J24=0,"",INDEX('Biaya Gratis Ongkir Xtra'!D:D, MATCH(J24, 'Biaya Gratis Ongkir Xtra'!C:C, 0)))</f>
        <v/>
      </c>
      <c r="Q24" s="286" t="str">
        <f t="shared" si="3"/>
        <v/>
      </c>
      <c r="R24" s="287" t="str">
        <f t="array" ref="R24">if(K24=0,"",INDEX('Biaya Gratis Ongkir Xtra'!$C$7:$C$10, MATCH(K24, 'Biaya Gratis Ongkir Xtra'!$B$7:$B$10, 0)))</f>
        <v/>
      </c>
      <c r="S24" s="288" t="str">
        <f t="shared" si="4"/>
        <v/>
      </c>
      <c r="T24" s="273" t="str">
        <f t="shared" si="13"/>
        <v/>
      </c>
      <c r="U24" s="287" t="str">
        <f t="array" ref="U24">if(C24=0,"",INDEX('Biaya Gratis Ongkir Xtra'!$C$3:$C$4, MATCH(L24, 'Biaya Gratis Ongkir Xtra'!$B$3:$B$4, 0)))</f>
        <v/>
      </c>
      <c r="V24" s="288" t="str">
        <f t="shared" si="6"/>
        <v/>
      </c>
      <c r="W24" s="264"/>
      <c r="X24" s="289" t="str">
        <f t="shared" si="7"/>
        <v/>
      </c>
      <c r="Y24" s="290" t="str">
        <f t="shared" si="8"/>
        <v/>
      </c>
      <c r="Z24" s="291" t="str">
        <f t="shared" si="9"/>
        <v/>
      </c>
      <c r="AA24" s="289" t="str">
        <f t="shared" si="10"/>
        <v/>
      </c>
      <c r="AB24" s="291" t="str">
        <f t="shared" si="11"/>
        <v/>
      </c>
      <c r="AC24" s="292" t="str">
        <f t="shared" si="12"/>
        <v/>
      </c>
      <c r="AD24" s="281"/>
      <c r="AE24" s="22"/>
    </row>
    <row r="25">
      <c r="A25" s="264"/>
      <c r="B25" s="267"/>
      <c r="C25" s="265"/>
      <c r="D25" s="265"/>
      <c r="E25" s="265"/>
      <c r="F25" s="266"/>
      <c r="G25" s="267" t="str">
        <f t="shared" si="1"/>
        <v/>
      </c>
      <c r="H25" s="264"/>
      <c r="I25" s="282"/>
      <c r="J25" s="282"/>
      <c r="K25" s="282"/>
      <c r="L25" s="282"/>
      <c r="M25" s="269"/>
      <c r="N25" s="283" t="str">
        <f t="array" ref="N25">if(C25=0,"",INDEX('Biaya Administrasi'!E:E, MATCH(I25, 'Biaya Administrasi'!B:B, 0)))</f>
        <v/>
      </c>
      <c r="O25" s="284" t="str">
        <f t="shared" si="2"/>
        <v/>
      </c>
      <c r="P25" s="285" t="str">
        <f t="array" ref="P25">if(J25=0,"",INDEX('Biaya Gratis Ongkir Xtra'!D:D, MATCH(J25, 'Biaya Gratis Ongkir Xtra'!C:C, 0)))</f>
        <v/>
      </c>
      <c r="Q25" s="286" t="str">
        <f t="shared" si="3"/>
        <v/>
      </c>
      <c r="R25" s="287" t="str">
        <f t="array" ref="R25">if(K25=0,"",INDEX('Biaya Gratis Ongkir Xtra'!$C$7:$C$10, MATCH(K25, 'Biaya Gratis Ongkir Xtra'!$B$7:$B$10, 0)))</f>
        <v/>
      </c>
      <c r="S25" s="288" t="str">
        <f t="shared" si="4"/>
        <v/>
      </c>
      <c r="T25" s="273" t="str">
        <f t="shared" si="13"/>
        <v/>
      </c>
      <c r="U25" s="287" t="str">
        <f t="array" ref="U25">if(C25=0,"",INDEX('Biaya Gratis Ongkir Xtra'!$C$3:$C$4, MATCH(L25, 'Biaya Gratis Ongkir Xtra'!$B$3:$B$4, 0)))</f>
        <v/>
      </c>
      <c r="V25" s="288" t="str">
        <f t="shared" si="6"/>
        <v/>
      </c>
      <c r="W25" s="264"/>
      <c r="X25" s="289" t="str">
        <f t="shared" si="7"/>
        <v/>
      </c>
      <c r="Y25" s="290" t="str">
        <f t="shared" si="8"/>
        <v/>
      </c>
      <c r="Z25" s="291" t="str">
        <f t="shared" si="9"/>
        <v/>
      </c>
      <c r="AA25" s="289" t="str">
        <f t="shared" si="10"/>
        <v/>
      </c>
      <c r="AB25" s="291" t="str">
        <f t="shared" si="11"/>
        <v/>
      </c>
      <c r="AC25" s="292" t="str">
        <f t="shared" si="12"/>
        <v/>
      </c>
      <c r="AD25" s="281"/>
      <c r="AE25" s="22"/>
    </row>
    <row r="26">
      <c r="A26" s="264"/>
      <c r="B26" s="267"/>
      <c r="C26" s="265"/>
      <c r="D26" s="265"/>
      <c r="E26" s="265"/>
      <c r="F26" s="266"/>
      <c r="G26" s="267" t="str">
        <f t="shared" si="1"/>
        <v/>
      </c>
      <c r="H26" s="264"/>
      <c r="I26" s="282"/>
      <c r="J26" s="282"/>
      <c r="K26" s="282"/>
      <c r="L26" s="282"/>
      <c r="M26" s="269"/>
      <c r="N26" s="283" t="str">
        <f t="array" ref="N26">if(C26=0,"",INDEX('Biaya Administrasi'!E:E, MATCH(I26, 'Biaya Administrasi'!B:B, 0)))</f>
        <v/>
      </c>
      <c r="O26" s="284" t="str">
        <f t="shared" si="2"/>
        <v/>
      </c>
      <c r="P26" s="285" t="str">
        <f t="array" ref="P26">if(J26=0,"",INDEX('Biaya Gratis Ongkir Xtra'!D:D, MATCH(J26, 'Biaya Gratis Ongkir Xtra'!C:C, 0)))</f>
        <v/>
      </c>
      <c r="Q26" s="286" t="str">
        <f t="shared" si="3"/>
        <v/>
      </c>
      <c r="R26" s="287" t="str">
        <f t="array" ref="R26">if(K26=0,"",INDEX('Biaya Gratis Ongkir Xtra'!$C$7:$C$10, MATCH(K26, 'Biaya Gratis Ongkir Xtra'!$B$7:$B$10, 0)))</f>
        <v/>
      </c>
      <c r="S26" s="288" t="str">
        <f t="shared" si="4"/>
        <v/>
      </c>
      <c r="T26" s="273" t="str">
        <f t="shared" si="13"/>
        <v/>
      </c>
      <c r="U26" s="287" t="str">
        <f t="array" ref="U26">if(C26=0,"",INDEX('Biaya Gratis Ongkir Xtra'!$C$3:$C$4, MATCH(L26, 'Biaya Gratis Ongkir Xtra'!$B$3:$B$4, 0)))</f>
        <v/>
      </c>
      <c r="V26" s="288" t="str">
        <f t="shared" si="6"/>
        <v/>
      </c>
      <c r="W26" s="264"/>
      <c r="X26" s="289" t="str">
        <f t="shared" si="7"/>
        <v/>
      </c>
      <c r="Y26" s="290" t="str">
        <f t="shared" si="8"/>
        <v/>
      </c>
      <c r="Z26" s="291" t="str">
        <f t="shared" si="9"/>
        <v/>
      </c>
      <c r="AA26" s="289" t="str">
        <f t="shared" si="10"/>
        <v/>
      </c>
      <c r="AB26" s="291" t="str">
        <f t="shared" si="11"/>
        <v/>
      </c>
      <c r="AC26" s="292" t="str">
        <f t="shared" si="12"/>
        <v/>
      </c>
      <c r="AD26" s="281"/>
      <c r="AE26" s="22"/>
    </row>
    <row r="27">
      <c r="A27" s="264"/>
      <c r="B27" s="267"/>
      <c r="C27" s="265"/>
      <c r="D27" s="265"/>
      <c r="E27" s="265"/>
      <c r="F27" s="266"/>
      <c r="G27" s="267" t="str">
        <f t="shared" si="1"/>
        <v/>
      </c>
      <c r="H27" s="264"/>
      <c r="I27" s="282"/>
      <c r="J27" s="282"/>
      <c r="K27" s="282"/>
      <c r="L27" s="282"/>
      <c r="M27" s="269"/>
      <c r="N27" s="283" t="str">
        <f t="array" ref="N27">if(C27=0,"",INDEX('Biaya Administrasi'!E:E, MATCH(I27, 'Biaya Administrasi'!B:B, 0)))</f>
        <v/>
      </c>
      <c r="O27" s="284" t="str">
        <f t="shared" si="2"/>
        <v/>
      </c>
      <c r="P27" s="285" t="str">
        <f t="array" ref="P27">if(J27=0,"",INDEX('Biaya Gratis Ongkir Xtra'!D:D, MATCH(J27, 'Biaya Gratis Ongkir Xtra'!C:C, 0)))</f>
        <v/>
      </c>
      <c r="Q27" s="286" t="str">
        <f t="shared" si="3"/>
        <v/>
      </c>
      <c r="R27" s="287" t="str">
        <f t="array" ref="R27">if(K27=0,"",INDEX('Biaya Gratis Ongkir Xtra'!$C$7:$C$10, MATCH(K27, 'Biaya Gratis Ongkir Xtra'!$B$7:$B$10, 0)))</f>
        <v/>
      </c>
      <c r="S27" s="288" t="str">
        <f t="shared" si="4"/>
        <v/>
      </c>
      <c r="T27" s="273" t="str">
        <f t="shared" si="13"/>
        <v/>
      </c>
      <c r="U27" s="287" t="str">
        <f t="array" ref="U27">if(C27=0,"",INDEX('Biaya Gratis Ongkir Xtra'!$C$3:$C$4, MATCH(L27, 'Biaya Gratis Ongkir Xtra'!$B$3:$B$4, 0)))</f>
        <v/>
      </c>
      <c r="V27" s="288" t="str">
        <f t="shared" si="6"/>
        <v/>
      </c>
      <c r="W27" s="264"/>
      <c r="X27" s="289" t="str">
        <f t="shared" si="7"/>
        <v/>
      </c>
      <c r="Y27" s="290" t="str">
        <f t="shared" si="8"/>
        <v/>
      </c>
      <c r="Z27" s="291" t="str">
        <f t="shared" si="9"/>
        <v/>
      </c>
      <c r="AA27" s="289" t="str">
        <f t="shared" si="10"/>
        <v/>
      </c>
      <c r="AB27" s="291" t="str">
        <f t="shared" si="11"/>
        <v/>
      </c>
      <c r="AC27" s="292" t="str">
        <f t="shared" si="12"/>
        <v/>
      </c>
      <c r="AD27" s="281"/>
      <c r="AE27" s="22"/>
    </row>
    <row r="28">
      <c r="A28" s="264"/>
      <c r="B28" s="267"/>
      <c r="C28" s="265"/>
      <c r="D28" s="265"/>
      <c r="E28" s="265"/>
      <c r="F28" s="266"/>
      <c r="G28" s="267" t="str">
        <f t="shared" si="1"/>
        <v/>
      </c>
      <c r="H28" s="264"/>
      <c r="I28" s="282"/>
      <c r="J28" s="282"/>
      <c r="K28" s="282"/>
      <c r="L28" s="282"/>
      <c r="M28" s="269"/>
      <c r="N28" s="283" t="str">
        <f t="array" ref="N28">if(C28=0,"",INDEX('Biaya Administrasi'!E:E, MATCH(I28, 'Biaya Administrasi'!B:B, 0)))</f>
        <v/>
      </c>
      <c r="O28" s="284" t="str">
        <f t="shared" si="2"/>
        <v/>
      </c>
      <c r="P28" s="285" t="str">
        <f t="array" ref="P28">if(J28=0,"",INDEX('Biaya Gratis Ongkir Xtra'!D:D, MATCH(J28, 'Biaya Gratis Ongkir Xtra'!C:C, 0)))</f>
        <v/>
      </c>
      <c r="Q28" s="286" t="str">
        <f t="shared" si="3"/>
        <v/>
      </c>
      <c r="R28" s="287" t="str">
        <f t="array" ref="R28">if(K28=0,"",INDEX('Biaya Gratis Ongkir Xtra'!$C$7:$C$10, MATCH(K28, 'Biaya Gratis Ongkir Xtra'!$B$7:$B$10, 0)))</f>
        <v/>
      </c>
      <c r="S28" s="288" t="str">
        <f t="shared" si="4"/>
        <v/>
      </c>
      <c r="T28" s="273" t="str">
        <f t="shared" si="13"/>
        <v/>
      </c>
      <c r="U28" s="287" t="str">
        <f t="array" ref="U28">if(C28=0,"",INDEX('Biaya Gratis Ongkir Xtra'!$C$3:$C$4, MATCH(L28, 'Biaya Gratis Ongkir Xtra'!$B$3:$B$4, 0)))</f>
        <v/>
      </c>
      <c r="V28" s="288" t="str">
        <f t="shared" si="6"/>
        <v/>
      </c>
      <c r="W28" s="264"/>
      <c r="X28" s="289" t="str">
        <f t="shared" si="7"/>
        <v/>
      </c>
      <c r="Y28" s="290" t="str">
        <f t="shared" si="8"/>
        <v/>
      </c>
      <c r="Z28" s="291" t="str">
        <f t="shared" si="9"/>
        <v/>
      </c>
      <c r="AA28" s="289" t="str">
        <f t="shared" si="10"/>
        <v/>
      </c>
      <c r="AB28" s="291" t="str">
        <f t="shared" si="11"/>
        <v/>
      </c>
      <c r="AC28" s="292" t="str">
        <f t="shared" si="12"/>
        <v/>
      </c>
      <c r="AD28" s="281"/>
      <c r="AE28" s="22"/>
    </row>
    <row r="29">
      <c r="A29" s="264"/>
      <c r="B29" s="267"/>
      <c r="C29" s="265"/>
      <c r="D29" s="265"/>
      <c r="E29" s="265"/>
      <c r="F29" s="266"/>
      <c r="G29" s="267" t="str">
        <f t="shared" si="1"/>
        <v/>
      </c>
      <c r="H29" s="264"/>
      <c r="I29" s="282"/>
      <c r="J29" s="282"/>
      <c r="K29" s="282"/>
      <c r="L29" s="282"/>
      <c r="M29" s="269"/>
      <c r="N29" s="283" t="str">
        <f t="array" ref="N29">if(C29=0,"",INDEX('Biaya Administrasi'!E:E, MATCH(I29, 'Biaya Administrasi'!B:B, 0)))</f>
        <v/>
      </c>
      <c r="O29" s="284" t="str">
        <f t="shared" si="2"/>
        <v/>
      </c>
      <c r="P29" s="285" t="str">
        <f t="array" ref="P29">if(J29=0,"",INDEX('Biaya Gratis Ongkir Xtra'!D:D, MATCH(J29, 'Biaya Gratis Ongkir Xtra'!C:C, 0)))</f>
        <v/>
      </c>
      <c r="Q29" s="286" t="str">
        <f t="shared" si="3"/>
        <v/>
      </c>
      <c r="R29" s="287" t="str">
        <f t="array" ref="R29">if(K29=0,"",INDEX('Biaya Gratis Ongkir Xtra'!$C$7:$C$10, MATCH(K29, 'Biaya Gratis Ongkir Xtra'!$B$7:$B$10, 0)))</f>
        <v/>
      </c>
      <c r="S29" s="288" t="str">
        <f t="shared" si="4"/>
        <v/>
      </c>
      <c r="T29" s="273" t="str">
        <f t="shared" si="13"/>
        <v/>
      </c>
      <c r="U29" s="287" t="str">
        <f t="array" ref="U29">if(C29=0,"",INDEX('Biaya Gratis Ongkir Xtra'!$C$3:$C$4, MATCH(L29, 'Biaya Gratis Ongkir Xtra'!$B$3:$B$4, 0)))</f>
        <v/>
      </c>
      <c r="V29" s="288" t="str">
        <f t="shared" si="6"/>
        <v/>
      </c>
      <c r="W29" s="264"/>
      <c r="X29" s="289" t="str">
        <f t="shared" si="7"/>
        <v/>
      </c>
      <c r="Y29" s="290" t="str">
        <f t="shared" si="8"/>
        <v/>
      </c>
      <c r="Z29" s="291" t="str">
        <f t="shared" si="9"/>
        <v/>
      </c>
      <c r="AA29" s="289" t="str">
        <f t="shared" si="10"/>
        <v/>
      </c>
      <c r="AB29" s="291" t="str">
        <f t="shared" si="11"/>
        <v/>
      </c>
      <c r="AC29" s="292" t="str">
        <f t="shared" si="12"/>
        <v/>
      </c>
      <c r="AD29" s="281"/>
      <c r="AE29" s="22"/>
    </row>
    <row r="30">
      <c r="A30" s="264"/>
      <c r="B30" s="267"/>
      <c r="C30" s="265"/>
      <c r="D30" s="265"/>
      <c r="E30" s="265"/>
      <c r="F30" s="266"/>
      <c r="G30" s="267" t="str">
        <f t="shared" si="1"/>
        <v/>
      </c>
      <c r="H30" s="264"/>
      <c r="I30" s="282"/>
      <c r="J30" s="282"/>
      <c r="K30" s="282"/>
      <c r="L30" s="282"/>
      <c r="M30" s="269"/>
      <c r="N30" s="283" t="str">
        <f t="array" ref="N30">if(C30=0,"",INDEX('Biaya Administrasi'!E:E, MATCH(I30, 'Biaya Administrasi'!B:B, 0)))</f>
        <v/>
      </c>
      <c r="O30" s="284" t="str">
        <f t="shared" si="2"/>
        <v/>
      </c>
      <c r="P30" s="285" t="str">
        <f t="array" ref="P30">if(J30=0,"",INDEX('Biaya Gratis Ongkir Xtra'!D:D, MATCH(J30, 'Biaya Gratis Ongkir Xtra'!C:C, 0)))</f>
        <v/>
      </c>
      <c r="Q30" s="286" t="str">
        <f t="shared" si="3"/>
        <v/>
      </c>
      <c r="R30" s="287" t="str">
        <f t="array" ref="R30">if(K30=0,"",INDEX('Biaya Gratis Ongkir Xtra'!$C$7:$C$10, MATCH(K30, 'Biaya Gratis Ongkir Xtra'!$B$7:$B$10, 0)))</f>
        <v/>
      </c>
      <c r="S30" s="288" t="str">
        <f t="shared" si="4"/>
        <v/>
      </c>
      <c r="T30" s="273" t="str">
        <f t="shared" si="13"/>
        <v/>
      </c>
      <c r="U30" s="287" t="str">
        <f t="array" ref="U30">if(C30=0,"",INDEX('Biaya Gratis Ongkir Xtra'!$C$3:$C$4, MATCH(L30, 'Biaya Gratis Ongkir Xtra'!$B$3:$B$4, 0)))</f>
        <v/>
      </c>
      <c r="V30" s="288" t="str">
        <f t="shared" si="6"/>
        <v/>
      </c>
      <c r="W30" s="264"/>
      <c r="X30" s="289" t="str">
        <f t="shared" si="7"/>
        <v/>
      </c>
      <c r="Y30" s="290" t="str">
        <f t="shared" si="8"/>
        <v/>
      </c>
      <c r="Z30" s="291" t="str">
        <f t="shared" si="9"/>
        <v/>
      </c>
      <c r="AA30" s="289" t="str">
        <f t="shared" si="10"/>
        <v/>
      </c>
      <c r="AB30" s="291" t="str">
        <f t="shared" si="11"/>
        <v/>
      </c>
      <c r="AC30" s="292" t="str">
        <f t="shared" si="12"/>
        <v/>
      </c>
      <c r="AD30" s="281"/>
      <c r="AE30" s="22"/>
    </row>
    <row r="31">
      <c r="A31" s="264"/>
      <c r="B31" s="267"/>
      <c r="C31" s="265"/>
      <c r="D31" s="265"/>
      <c r="E31" s="265"/>
      <c r="F31" s="266"/>
      <c r="G31" s="267" t="str">
        <f t="shared" si="1"/>
        <v/>
      </c>
      <c r="H31" s="264"/>
      <c r="I31" s="282"/>
      <c r="J31" s="282"/>
      <c r="K31" s="282"/>
      <c r="L31" s="282"/>
      <c r="M31" s="269"/>
      <c r="N31" s="283" t="str">
        <f t="array" ref="N31">if(C31=0,"",INDEX('Biaya Administrasi'!E:E, MATCH(I31, 'Biaya Administrasi'!B:B, 0)))</f>
        <v/>
      </c>
      <c r="O31" s="284" t="str">
        <f t="shared" si="2"/>
        <v/>
      </c>
      <c r="P31" s="285" t="str">
        <f t="array" ref="P31">if(J31=0,"",INDEX('Biaya Gratis Ongkir Xtra'!D:D, MATCH(J31, 'Biaya Gratis Ongkir Xtra'!C:C, 0)))</f>
        <v/>
      </c>
      <c r="Q31" s="286" t="str">
        <f t="shared" si="3"/>
        <v/>
      </c>
      <c r="R31" s="287" t="str">
        <f t="array" ref="R31">if(K31=0,"",INDEX('Biaya Gratis Ongkir Xtra'!$C$7:$C$10, MATCH(K31, 'Biaya Gratis Ongkir Xtra'!$B$7:$B$10, 0)))</f>
        <v/>
      </c>
      <c r="S31" s="288" t="str">
        <f t="shared" si="4"/>
        <v/>
      </c>
      <c r="T31" s="273" t="str">
        <f t="shared" si="13"/>
        <v/>
      </c>
      <c r="U31" s="287" t="str">
        <f t="array" ref="U31">if(C31=0,"",INDEX('Biaya Gratis Ongkir Xtra'!$C$3:$C$4, MATCH(L31, 'Biaya Gratis Ongkir Xtra'!$B$3:$B$4, 0)))</f>
        <v/>
      </c>
      <c r="V31" s="288" t="str">
        <f t="shared" si="6"/>
        <v/>
      </c>
      <c r="W31" s="264"/>
      <c r="X31" s="289" t="str">
        <f t="shared" si="7"/>
        <v/>
      </c>
      <c r="Y31" s="290" t="str">
        <f t="shared" si="8"/>
        <v/>
      </c>
      <c r="Z31" s="291" t="str">
        <f t="shared" si="9"/>
        <v/>
      </c>
      <c r="AA31" s="289" t="str">
        <f t="shared" si="10"/>
        <v/>
      </c>
      <c r="AB31" s="291" t="str">
        <f t="shared" si="11"/>
        <v/>
      </c>
      <c r="AC31" s="292" t="str">
        <f t="shared" si="12"/>
        <v/>
      </c>
      <c r="AD31" s="281"/>
      <c r="AE31" s="22"/>
    </row>
    <row r="32">
      <c r="A32" s="264"/>
      <c r="B32" s="267"/>
      <c r="C32" s="265"/>
      <c r="D32" s="265"/>
      <c r="E32" s="265"/>
      <c r="F32" s="266"/>
      <c r="G32" s="267" t="str">
        <f t="shared" si="1"/>
        <v/>
      </c>
      <c r="H32" s="264"/>
      <c r="I32" s="282"/>
      <c r="J32" s="282"/>
      <c r="K32" s="282"/>
      <c r="L32" s="282"/>
      <c r="M32" s="269"/>
      <c r="N32" s="283" t="str">
        <f t="array" ref="N32">if(C32=0,"",INDEX('Biaya Administrasi'!E:E, MATCH(I32, 'Biaya Administrasi'!B:B, 0)))</f>
        <v/>
      </c>
      <c r="O32" s="284" t="str">
        <f t="shared" si="2"/>
        <v/>
      </c>
      <c r="P32" s="285" t="str">
        <f t="array" ref="P32">if(J32=0,"",INDEX('Biaya Gratis Ongkir Xtra'!D:D, MATCH(J32, 'Biaya Gratis Ongkir Xtra'!C:C, 0)))</f>
        <v/>
      </c>
      <c r="Q32" s="286" t="str">
        <f t="shared" si="3"/>
        <v/>
      </c>
      <c r="R32" s="287" t="str">
        <f t="array" ref="R32">if(K32=0,"",INDEX('Biaya Gratis Ongkir Xtra'!$C$7:$C$10, MATCH(K32, 'Biaya Gratis Ongkir Xtra'!$B$7:$B$10, 0)))</f>
        <v/>
      </c>
      <c r="S32" s="288" t="str">
        <f t="shared" si="4"/>
        <v/>
      </c>
      <c r="T32" s="273" t="str">
        <f t="shared" si="13"/>
        <v/>
      </c>
      <c r="U32" s="287" t="str">
        <f t="array" ref="U32">if(C32=0,"",INDEX('Biaya Gratis Ongkir Xtra'!$C$3:$C$4, MATCH(L32, 'Biaya Gratis Ongkir Xtra'!$B$3:$B$4, 0)))</f>
        <v/>
      </c>
      <c r="V32" s="288" t="str">
        <f t="shared" si="6"/>
        <v/>
      </c>
      <c r="W32" s="264"/>
      <c r="X32" s="289" t="str">
        <f t="shared" si="7"/>
        <v/>
      </c>
      <c r="Y32" s="290" t="str">
        <f t="shared" si="8"/>
        <v/>
      </c>
      <c r="Z32" s="291" t="str">
        <f t="shared" si="9"/>
        <v/>
      </c>
      <c r="AA32" s="289" t="str">
        <f t="shared" si="10"/>
        <v/>
      </c>
      <c r="AB32" s="291" t="str">
        <f t="shared" si="11"/>
        <v/>
      </c>
      <c r="AC32" s="292" t="str">
        <f t="shared" si="12"/>
        <v/>
      </c>
      <c r="AD32" s="281"/>
      <c r="AE32" s="22"/>
    </row>
    <row r="33">
      <c r="A33" s="264"/>
      <c r="B33" s="267"/>
      <c r="C33" s="265"/>
      <c r="D33" s="265"/>
      <c r="E33" s="265"/>
      <c r="F33" s="266"/>
      <c r="G33" s="267" t="str">
        <f t="shared" si="1"/>
        <v/>
      </c>
      <c r="H33" s="264"/>
      <c r="I33" s="282"/>
      <c r="J33" s="282"/>
      <c r="K33" s="282"/>
      <c r="L33" s="282"/>
      <c r="M33" s="269"/>
      <c r="N33" s="283" t="str">
        <f t="array" ref="N33">if(C33=0,"",INDEX('Biaya Administrasi'!E:E, MATCH(I33, 'Biaya Administrasi'!B:B, 0)))</f>
        <v/>
      </c>
      <c r="O33" s="284" t="str">
        <f t="shared" si="2"/>
        <v/>
      </c>
      <c r="P33" s="285" t="str">
        <f t="array" ref="P33">if(J33=0,"",INDEX('Biaya Gratis Ongkir Xtra'!D:D, MATCH(J33, 'Biaya Gratis Ongkir Xtra'!C:C, 0)))</f>
        <v/>
      </c>
      <c r="Q33" s="286" t="str">
        <f t="shared" si="3"/>
        <v/>
      </c>
      <c r="R33" s="287" t="str">
        <f t="array" ref="R33">if(K33=0,"",INDEX('Biaya Gratis Ongkir Xtra'!$C$7:$C$10, MATCH(K33, 'Biaya Gratis Ongkir Xtra'!$B$7:$B$10, 0)))</f>
        <v/>
      </c>
      <c r="S33" s="288" t="str">
        <f t="shared" si="4"/>
        <v/>
      </c>
      <c r="T33" s="273" t="str">
        <f t="shared" si="13"/>
        <v/>
      </c>
      <c r="U33" s="287" t="str">
        <f t="array" ref="U33">if(C33=0,"",INDEX('Biaya Gratis Ongkir Xtra'!$C$3:$C$4, MATCH(L33, 'Biaya Gratis Ongkir Xtra'!$B$3:$B$4, 0)))</f>
        <v/>
      </c>
      <c r="V33" s="288" t="str">
        <f t="shared" si="6"/>
        <v/>
      </c>
      <c r="W33" s="264"/>
      <c r="X33" s="289" t="str">
        <f t="shared" si="7"/>
        <v/>
      </c>
      <c r="Y33" s="290" t="str">
        <f t="shared" si="8"/>
        <v/>
      </c>
      <c r="Z33" s="291" t="str">
        <f t="shared" si="9"/>
        <v/>
      </c>
      <c r="AA33" s="289" t="str">
        <f t="shared" si="10"/>
        <v/>
      </c>
      <c r="AB33" s="291" t="str">
        <f t="shared" si="11"/>
        <v/>
      </c>
      <c r="AC33" s="292" t="str">
        <f t="shared" si="12"/>
        <v/>
      </c>
      <c r="AD33" s="281"/>
      <c r="AE33" s="22"/>
    </row>
    <row r="34">
      <c r="A34" s="264"/>
      <c r="B34" s="267"/>
      <c r="C34" s="265"/>
      <c r="D34" s="265"/>
      <c r="E34" s="265"/>
      <c r="F34" s="266"/>
      <c r="G34" s="267" t="str">
        <f t="shared" si="1"/>
        <v/>
      </c>
      <c r="H34" s="264"/>
      <c r="I34" s="282"/>
      <c r="J34" s="282"/>
      <c r="K34" s="282"/>
      <c r="L34" s="282"/>
      <c r="M34" s="269"/>
      <c r="N34" s="283" t="str">
        <f t="array" ref="N34">if(C34=0,"",INDEX('Biaya Administrasi'!E:E, MATCH(I34, 'Biaya Administrasi'!B:B, 0)))</f>
        <v/>
      </c>
      <c r="O34" s="284" t="str">
        <f t="shared" si="2"/>
        <v/>
      </c>
      <c r="P34" s="285" t="str">
        <f t="array" ref="P34">if(J34=0,"",INDEX('Biaya Gratis Ongkir Xtra'!D:D, MATCH(J34, 'Biaya Gratis Ongkir Xtra'!C:C, 0)))</f>
        <v/>
      </c>
      <c r="Q34" s="286" t="str">
        <f t="shared" si="3"/>
        <v/>
      </c>
      <c r="R34" s="287" t="str">
        <f t="array" ref="R34">if(K34=0,"",INDEX('Biaya Gratis Ongkir Xtra'!$C$7:$C$10, MATCH(K34, 'Biaya Gratis Ongkir Xtra'!$B$7:$B$10, 0)))</f>
        <v/>
      </c>
      <c r="S34" s="288" t="str">
        <f t="shared" si="4"/>
        <v/>
      </c>
      <c r="T34" s="273" t="str">
        <f t="shared" si="13"/>
        <v/>
      </c>
      <c r="U34" s="287" t="str">
        <f t="array" ref="U34">if(C34=0,"",INDEX('Biaya Gratis Ongkir Xtra'!$C$3:$C$4, MATCH(L34, 'Biaya Gratis Ongkir Xtra'!$B$3:$B$4, 0)))</f>
        <v/>
      </c>
      <c r="V34" s="288" t="str">
        <f t="shared" si="6"/>
        <v/>
      </c>
      <c r="W34" s="264"/>
      <c r="X34" s="289" t="str">
        <f t="shared" si="7"/>
        <v/>
      </c>
      <c r="Y34" s="290" t="str">
        <f t="shared" si="8"/>
        <v/>
      </c>
      <c r="Z34" s="291" t="str">
        <f t="shared" si="9"/>
        <v/>
      </c>
      <c r="AA34" s="289" t="str">
        <f t="shared" si="10"/>
        <v/>
      </c>
      <c r="AB34" s="291" t="str">
        <f t="shared" si="11"/>
        <v/>
      </c>
      <c r="AC34" s="292" t="str">
        <f t="shared" si="12"/>
        <v/>
      </c>
      <c r="AD34" s="281"/>
      <c r="AE34" s="22"/>
    </row>
    <row r="35">
      <c r="A35" s="264"/>
      <c r="B35" s="267"/>
      <c r="C35" s="265"/>
      <c r="D35" s="265"/>
      <c r="E35" s="265"/>
      <c r="F35" s="266"/>
      <c r="G35" s="267" t="str">
        <f t="shared" si="1"/>
        <v/>
      </c>
      <c r="H35" s="264"/>
      <c r="I35" s="282"/>
      <c r="J35" s="282"/>
      <c r="K35" s="282"/>
      <c r="L35" s="282"/>
      <c r="M35" s="269"/>
      <c r="N35" s="283" t="str">
        <f t="array" ref="N35">if(C35=0,"",INDEX('Biaya Administrasi'!E:E, MATCH(I35, 'Biaya Administrasi'!B:B, 0)))</f>
        <v/>
      </c>
      <c r="O35" s="284" t="str">
        <f t="shared" si="2"/>
        <v/>
      </c>
      <c r="P35" s="285" t="str">
        <f t="array" ref="P35">if(J35=0,"",INDEX('Biaya Gratis Ongkir Xtra'!D:D, MATCH(J35, 'Biaya Gratis Ongkir Xtra'!C:C, 0)))</f>
        <v/>
      </c>
      <c r="Q35" s="286" t="str">
        <f t="shared" si="3"/>
        <v/>
      </c>
      <c r="R35" s="287" t="str">
        <f t="array" ref="R35">if(K35=0,"",INDEX('Biaya Gratis Ongkir Xtra'!$C$7:$C$10, MATCH(K35, 'Biaya Gratis Ongkir Xtra'!$B$7:$B$10, 0)))</f>
        <v/>
      </c>
      <c r="S35" s="288" t="str">
        <f t="shared" si="4"/>
        <v/>
      </c>
      <c r="T35" s="273" t="str">
        <f t="shared" si="13"/>
        <v/>
      </c>
      <c r="U35" s="287" t="str">
        <f t="array" ref="U35">if(C35=0,"",INDEX('Biaya Gratis Ongkir Xtra'!$C$3:$C$4, MATCH(L35, 'Biaya Gratis Ongkir Xtra'!$B$3:$B$4, 0)))</f>
        <v/>
      </c>
      <c r="V35" s="288" t="str">
        <f t="shared" si="6"/>
        <v/>
      </c>
      <c r="W35" s="264"/>
      <c r="X35" s="289" t="str">
        <f t="shared" si="7"/>
        <v/>
      </c>
      <c r="Y35" s="290" t="str">
        <f t="shared" si="8"/>
        <v/>
      </c>
      <c r="Z35" s="291" t="str">
        <f t="shared" si="9"/>
        <v/>
      </c>
      <c r="AA35" s="289" t="str">
        <f t="shared" si="10"/>
        <v/>
      </c>
      <c r="AB35" s="291" t="str">
        <f t="shared" si="11"/>
        <v/>
      </c>
      <c r="AC35" s="292" t="str">
        <f t="shared" si="12"/>
        <v/>
      </c>
      <c r="AD35" s="281"/>
      <c r="AE35" s="22"/>
    </row>
    <row r="36">
      <c r="A36" s="264"/>
      <c r="B36" s="267"/>
      <c r="C36" s="265"/>
      <c r="D36" s="265"/>
      <c r="E36" s="265"/>
      <c r="F36" s="266"/>
      <c r="G36" s="267" t="str">
        <f t="shared" si="1"/>
        <v/>
      </c>
      <c r="H36" s="264"/>
      <c r="I36" s="282"/>
      <c r="J36" s="282"/>
      <c r="K36" s="282"/>
      <c r="L36" s="282"/>
      <c r="M36" s="269"/>
      <c r="N36" s="283" t="str">
        <f t="array" ref="N36">if(C36=0,"",INDEX('Biaya Administrasi'!E:E, MATCH(I36, 'Biaya Administrasi'!B:B, 0)))</f>
        <v/>
      </c>
      <c r="O36" s="284" t="str">
        <f t="shared" si="2"/>
        <v/>
      </c>
      <c r="P36" s="285" t="str">
        <f t="array" ref="P36">if(J36=0,"",INDEX('Biaya Gratis Ongkir Xtra'!D:D, MATCH(J36, 'Biaya Gratis Ongkir Xtra'!C:C, 0)))</f>
        <v/>
      </c>
      <c r="Q36" s="286" t="str">
        <f t="shared" si="3"/>
        <v/>
      </c>
      <c r="R36" s="287" t="str">
        <f t="array" ref="R36">if(K36=0,"",INDEX('Biaya Gratis Ongkir Xtra'!$C$7:$C$10, MATCH(K36, 'Biaya Gratis Ongkir Xtra'!$B$7:$B$10, 0)))</f>
        <v/>
      </c>
      <c r="S36" s="288" t="str">
        <f t="shared" si="4"/>
        <v/>
      </c>
      <c r="T36" s="273" t="str">
        <f t="shared" si="13"/>
        <v/>
      </c>
      <c r="U36" s="287" t="str">
        <f t="array" ref="U36">if(C36=0,"",INDEX('Biaya Gratis Ongkir Xtra'!$C$3:$C$4, MATCH(L36, 'Biaya Gratis Ongkir Xtra'!$B$3:$B$4, 0)))</f>
        <v/>
      </c>
      <c r="V36" s="288" t="str">
        <f t="shared" si="6"/>
        <v/>
      </c>
      <c r="W36" s="264"/>
      <c r="X36" s="289" t="str">
        <f t="shared" si="7"/>
        <v/>
      </c>
      <c r="Y36" s="290" t="str">
        <f t="shared" si="8"/>
        <v/>
      </c>
      <c r="Z36" s="291" t="str">
        <f t="shared" si="9"/>
        <v/>
      </c>
      <c r="AA36" s="289" t="str">
        <f t="shared" si="10"/>
        <v/>
      </c>
      <c r="AB36" s="291" t="str">
        <f t="shared" si="11"/>
        <v/>
      </c>
      <c r="AC36" s="292" t="str">
        <f t="shared" si="12"/>
        <v/>
      </c>
      <c r="AD36" s="281"/>
      <c r="AE36" s="22"/>
    </row>
    <row r="37">
      <c r="A37" s="264"/>
      <c r="B37" s="267"/>
      <c r="C37" s="265"/>
      <c r="D37" s="265"/>
      <c r="E37" s="265"/>
      <c r="F37" s="266"/>
      <c r="G37" s="267" t="str">
        <f t="shared" si="1"/>
        <v/>
      </c>
      <c r="H37" s="264"/>
      <c r="I37" s="282"/>
      <c r="J37" s="282"/>
      <c r="K37" s="282"/>
      <c r="L37" s="282"/>
      <c r="M37" s="269"/>
      <c r="N37" s="283" t="str">
        <f t="array" ref="N37">if(C37=0,"",INDEX('Biaya Administrasi'!E:E, MATCH(I37, 'Biaya Administrasi'!B:B, 0)))</f>
        <v/>
      </c>
      <c r="O37" s="284" t="str">
        <f t="shared" si="2"/>
        <v/>
      </c>
      <c r="P37" s="285" t="str">
        <f t="array" ref="P37">if(J37=0,"",INDEX('Biaya Gratis Ongkir Xtra'!D:D, MATCH(J37, 'Biaya Gratis Ongkir Xtra'!C:C, 0)))</f>
        <v/>
      </c>
      <c r="Q37" s="286" t="str">
        <f t="shared" si="3"/>
        <v/>
      </c>
      <c r="R37" s="287" t="str">
        <f t="array" ref="R37">if(K37=0,"",INDEX('Biaya Gratis Ongkir Xtra'!$C$7:$C$10, MATCH(K37, 'Biaya Gratis Ongkir Xtra'!$B$7:$B$10, 0)))</f>
        <v/>
      </c>
      <c r="S37" s="288" t="str">
        <f t="shared" si="4"/>
        <v/>
      </c>
      <c r="T37" s="273" t="str">
        <f t="shared" si="13"/>
        <v/>
      </c>
      <c r="U37" s="287" t="str">
        <f t="array" ref="U37">if(C37=0,"",INDEX('Biaya Gratis Ongkir Xtra'!$C$3:$C$4, MATCH(L37, 'Biaya Gratis Ongkir Xtra'!$B$3:$B$4, 0)))</f>
        <v/>
      </c>
      <c r="V37" s="288" t="str">
        <f t="shared" si="6"/>
        <v/>
      </c>
      <c r="W37" s="264"/>
      <c r="X37" s="289" t="str">
        <f t="shared" si="7"/>
        <v/>
      </c>
      <c r="Y37" s="290" t="str">
        <f t="shared" si="8"/>
        <v/>
      </c>
      <c r="Z37" s="291" t="str">
        <f t="shared" si="9"/>
        <v/>
      </c>
      <c r="AA37" s="289" t="str">
        <f t="shared" si="10"/>
        <v/>
      </c>
      <c r="AB37" s="291" t="str">
        <f t="shared" si="11"/>
        <v/>
      </c>
      <c r="AC37" s="292" t="str">
        <f t="shared" si="12"/>
        <v/>
      </c>
      <c r="AD37" s="281"/>
      <c r="AE37" s="22"/>
    </row>
    <row r="38">
      <c r="A38" s="264"/>
      <c r="B38" s="267"/>
      <c r="C38" s="265"/>
      <c r="D38" s="265"/>
      <c r="E38" s="265"/>
      <c r="F38" s="266"/>
      <c r="G38" s="267" t="str">
        <f t="shared" si="1"/>
        <v/>
      </c>
      <c r="H38" s="264"/>
      <c r="I38" s="282"/>
      <c r="J38" s="282"/>
      <c r="K38" s="282"/>
      <c r="L38" s="282"/>
      <c r="M38" s="269"/>
      <c r="N38" s="283" t="str">
        <f t="array" ref="N38">if(C38=0,"",INDEX('Biaya Administrasi'!E:E, MATCH(I38, 'Biaya Administrasi'!B:B, 0)))</f>
        <v/>
      </c>
      <c r="O38" s="284" t="str">
        <f t="shared" si="2"/>
        <v/>
      </c>
      <c r="P38" s="285" t="str">
        <f t="array" ref="P38">if(J38=0,"",INDEX('Biaya Gratis Ongkir Xtra'!D:D, MATCH(J38, 'Biaya Gratis Ongkir Xtra'!C:C, 0)))</f>
        <v/>
      </c>
      <c r="Q38" s="286" t="str">
        <f t="shared" si="3"/>
        <v/>
      </c>
      <c r="R38" s="287" t="str">
        <f t="array" ref="R38">if(K38=0,"",INDEX('Biaya Gratis Ongkir Xtra'!$C$7:$C$10, MATCH(K38, 'Biaya Gratis Ongkir Xtra'!$B$7:$B$10, 0)))</f>
        <v/>
      </c>
      <c r="S38" s="288" t="str">
        <f t="shared" si="4"/>
        <v/>
      </c>
      <c r="T38" s="273" t="str">
        <f t="shared" si="13"/>
        <v/>
      </c>
      <c r="U38" s="287" t="str">
        <f t="array" ref="U38">if(C38=0,"",INDEX('Biaya Gratis Ongkir Xtra'!$C$3:$C$4, MATCH(L38, 'Biaya Gratis Ongkir Xtra'!$B$3:$B$4, 0)))</f>
        <v/>
      </c>
      <c r="V38" s="288" t="str">
        <f t="shared" si="6"/>
        <v/>
      </c>
      <c r="W38" s="264"/>
      <c r="X38" s="289" t="str">
        <f t="shared" si="7"/>
        <v/>
      </c>
      <c r="Y38" s="290" t="str">
        <f t="shared" si="8"/>
        <v/>
      </c>
      <c r="Z38" s="291" t="str">
        <f t="shared" si="9"/>
        <v/>
      </c>
      <c r="AA38" s="289" t="str">
        <f t="shared" si="10"/>
        <v/>
      </c>
      <c r="AB38" s="291" t="str">
        <f t="shared" si="11"/>
        <v/>
      </c>
      <c r="AC38" s="292" t="str">
        <f t="shared" si="12"/>
        <v/>
      </c>
      <c r="AD38" s="281"/>
      <c r="AE38" s="22"/>
    </row>
    <row r="39">
      <c r="A39" s="264"/>
      <c r="B39" s="267"/>
      <c r="C39" s="265"/>
      <c r="D39" s="265"/>
      <c r="E39" s="265"/>
      <c r="F39" s="266"/>
      <c r="G39" s="267" t="str">
        <f t="shared" si="1"/>
        <v/>
      </c>
      <c r="H39" s="264"/>
      <c r="I39" s="282"/>
      <c r="J39" s="282"/>
      <c r="K39" s="282"/>
      <c r="L39" s="282"/>
      <c r="M39" s="269"/>
      <c r="N39" s="283" t="str">
        <f t="array" ref="N39">if(C39=0,"",INDEX('Biaya Administrasi'!E:E, MATCH(I39, 'Biaya Administrasi'!B:B, 0)))</f>
        <v/>
      </c>
      <c r="O39" s="284" t="str">
        <f t="shared" si="2"/>
        <v/>
      </c>
      <c r="P39" s="285" t="str">
        <f t="array" ref="P39">if(J39=0,"",INDEX('Biaya Gratis Ongkir Xtra'!D:D, MATCH(J39, 'Biaya Gratis Ongkir Xtra'!C:C, 0)))</f>
        <v/>
      </c>
      <c r="Q39" s="286" t="str">
        <f t="shared" si="3"/>
        <v/>
      </c>
      <c r="R39" s="287" t="str">
        <f t="array" ref="R39">if(K39=0,"",INDEX('Biaya Gratis Ongkir Xtra'!$C$7:$C$10, MATCH(K39, 'Biaya Gratis Ongkir Xtra'!$B$7:$B$10, 0)))</f>
        <v/>
      </c>
      <c r="S39" s="288" t="str">
        <f t="shared" si="4"/>
        <v/>
      </c>
      <c r="T39" s="273" t="str">
        <f t="shared" si="13"/>
        <v/>
      </c>
      <c r="U39" s="287" t="str">
        <f t="array" ref="U39">if(C39=0,"",INDEX('Biaya Gratis Ongkir Xtra'!$C$3:$C$4, MATCH(L39, 'Biaya Gratis Ongkir Xtra'!$B$3:$B$4, 0)))</f>
        <v/>
      </c>
      <c r="V39" s="288" t="str">
        <f t="shared" si="6"/>
        <v/>
      </c>
      <c r="W39" s="264"/>
      <c r="X39" s="289" t="str">
        <f t="shared" si="7"/>
        <v/>
      </c>
      <c r="Y39" s="290" t="str">
        <f t="shared" si="8"/>
        <v/>
      </c>
      <c r="Z39" s="291" t="str">
        <f t="shared" si="9"/>
        <v/>
      </c>
      <c r="AA39" s="289" t="str">
        <f t="shared" si="10"/>
        <v/>
      </c>
      <c r="AB39" s="291" t="str">
        <f t="shared" si="11"/>
        <v/>
      </c>
      <c r="AC39" s="292" t="str">
        <f t="shared" si="12"/>
        <v/>
      </c>
      <c r="AD39" s="281"/>
      <c r="AE39" s="22"/>
    </row>
    <row r="40">
      <c r="A40" s="264"/>
      <c r="B40" s="267"/>
      <c r="C40" s="265"/>
      <c r="D40" s="265"/>
      <c r="E40" s="265"/>
      <c r="F40" s="266"/>
      <c r="G40" s="267" t="str">
        <f t="shared" si="1"/>
        <v/>
      </c>
      <c r="H40" s="264"/>
      <c r="I40" s="282"/>
      <c r="J40" s="282"/>
      <c r="K40" s="282"/>
      <c r="L40" s="282"/>
      <c r="M40" s="269"/>
      <c r="N40" s="283" t="str">
        <f t="array" ref="N40">if(C40=0,"",INDEX('Biaya Administrasi'!E:E, MATCH(I40, 'Biaya Administrasi'!B:B, 0)))</f>
        <v/>
      </c>
      <c r="O40" s="284" t="str">
        <f t="shared" si="2"/>
        <v/>
      </c>
      <c r="P40" s="285" t="str">
        <f t="array" ref="P40">if(J40=0,"",INDEX('Biaya Gratis Ongkir Xtra'!D:D, MATCH(J40, 'Biaya Gratis Ongkir Xtra'!C:C, 0)))</f>
        <v/>
      </c>
      <c r="Q40" s="286" t="str">
        <f t="shared" si="3"/>
        <v/>
      </c>
      <c r="R40" s="287" t="str">
        <f t="array" ref="R40">if(K40=0,"",INDEX('Biaya Gratis Ongkir Xtra'!$C$7:$C$10, MATCH(K40, 'Biaya Gratis Ongkir Xtra'!$B$7:$B$10, 0)))</f>
        <v/>
      </c>
      <c r="S40" s="288" t="str">
        <f t="shared" si="4"/>
        <v/>
      </c>
      <c r="T40" s="273" t="str">
        <f t="shared" si="13"/>
        <v/>
      </c>
      <c r="U40" s="287" t="str">
        <f t="array" ref="U40">if(C40=0,"",INDEX('Biaya Gratis Ongkir Xtra'!$C$3:$C$4, MATCH(L40, 'Biaya Gratis Ongkir Xtra'!$B$3:$B$4, 0)))</f>
        <v/>
      </c>
      <c r="V40" s="288" t="str">
        <f t="shared" si="6"/>
        <v/>
      </c>
      <c r="W40" s="264"/>
      <c r="X40" s="289" t="str">
        <f t="shared" si="7"/>
        <v/>
      </c>
      <c r="Y40" s="290" t="str">
        <f t="shared" si="8"/>
        <v/>
      </c>
      <c r="Z40" s="291" t="str">
        <f t="shared" si="9"/>
        <v/>
      </c>
      <c r="AA40" s="289" t="str">
        <f t="shared" si="10"/>
        <v/>
      </c>
      <c r="AB40" s="291" t="str">
        <f t="shared" si="11"/>
        <v/>
      </c>
      <c r="AC40" s="292" t="str">
        <f t="shared" si="12"/>
        <v/>
      </c>
      <c r="AD40" s="281"/>
      <c r="AE40" s="22"/>
    </row>
    <row r="41">
      <c r="A41" s="264"/>
      <c r="B41" s="267"/>
      <c r="C41" s="265"/>
      <c r="D41" s="265"/>
      <c r="E41" s="265"/>
      <c r="F41" s="266"/>
      <c r="G41" s="267" t="str">
        <f t="shared" si="1"/>
        <v/>
      </c>
      <c r="H41" s="264"/>
      <c r="I41" s="282"/>
      <c r="J41" s="282"/>
      <c r="K41" s="282"/>
      <c r="L41" s="282"/>
      <c r="M41" s="269"/>
      <c r="N41" s="283" t="str">
        <f t="array" ref="N41">if(C41=0,"",INDEX('Biaya Administrasi'!E:E, MATCH(I41, 'Biaya Administrasi'!B:B, 0)))</f>
        <v/>
      </c>
      <c r="O41" s="284" t="str">
        <f t="shared" si="2"/>
        <v/>
      </c>
      <c r="P41" s="285" t="str">
        <f t="array" ref="P41">if(J41=0,"",INDEX('Biaya Gratis Ongkir Xtra'!D:D, MATCH(J41, 'Biaya Gratis Ongkir Xtra'!C:C, 0)))</f>
        <v/>
      </c>
      <c r="Q41" s="286" t="str">
        <f t="shared" si="3"/>
        <v/>
      </c>
      <c r="R41" s="287" t="str">
        <f t="array" ref="R41">if(K41=0,"",INDEX('Biaya Gratis Ongkir Xtra'!$C$7:$C$10, MATCH(K41, 'Biaya Gratis Ongkir Xtra'!$B$7:$B$10, 0)))</f>
        <v/>
      </c>
      <c r="S41" s="288" t="str">
        <f t="shared" si="4"/>
        <v/>
      </c>
      <c r="T41" s="273" t="str">
        <f t="shared" si="13"/>
        <v/>
      </c>
      <c r="U41" s="287" t="str">
        <f t="array" ref="U41">if(C41=0,"",INDEX('Biaya Gratis Ongkir Xtra'!$C$3:$C$4, MATCH(L41, 'Biaya Gratis Ongkir Xtra'!$B$3:$B$4, 0)))</f>
        <v/>
      </c>
      <c r="V41" s="288" t="str">
        <f t="shared" si="6"/>
        <v/>
      </c>
      <c r="W41" s="264"/>
      <c r="X41" s="289" t="str">
        <f t="shared" si="7"/>
        <v/>
      </c>
      <c r="Y41" s="290" t="str">
        <f t="shared" si="8"/>
        <v/>
      </c>
      <c r="Z41" s="291" t="str">
        <f t="shared" si="9"/>
        <v/>
      </c>
      <c r="AA41" s="289" t="str">
        <f t="shared" si="10"/>
        <v/>
      </c>
      <c r="AB41" s="291" t="str">
        <f t="shared" si="11"/>
        <v/>
      </c>
      <c r="AC41" s="292" t="str">
        <f t="shared" si="12"/>
        <v/>
      </c>
      <c r="AD41" s="281"/>
      <c r="AE41" s="22"/>
    </row>
    <row r="42">
      <c r="A42" s="264"/>
      <c r="B42" s="267"/>
      <c r="C42" s="265"/>
      <c r="D42" s="265"/>
      <c r="E42" s="265"/>
      <c r="F42" s="266"/>
      <c r="G42" s="267" t="str">
        <f t="shared" si="1"/>
        <v/>
      </c>
      <c r="H42" s="264"/>
      <c r="I42" s="282"/>
      <c r="J42" s="282"/>
      <c r="K42" s="282"/>
      <c r="L42" s="282"/>
      <c r="M42" s="269"/>
      <c r="N42" s="283" t="str">
        <f t="array" ref="N42">if(C42=0,"",INDEX('Biaya Administrasi'!E:E, MATCH(I42, 'Biaya Administrasi'!B:B, 0)))</f>
        <v/>
      </c>
      <c r="O42" s="284" t="str">
        <f t="shared" si="2"/>
        <v/>
      </c>
      <c r="P42" s="285" t="str">
        <f t="array" ref="P42">if(J42=0,"",INDEX('Biaya Gratis Ongkir Xtra'!D:D, MATCH(J42, 'Biaya Gratis Ongkir Xtra'!C:C, 0)))</f>
        <v/>
      </c>
      <c r="Q42" s="286" t="str">
        <f t="shared" si="3"/>
        <v/>
      </c>
      <c r="R42" s="287" t="str">
        <f t="array" ref="R42">if(K42=0,"",INDEX('Biaya Gratis Ongkir Xtra'!$C$7:$C$10, MATCH(K42, 'Biaya Gratis Ongkir Xtra'!$B$7:$B$10, 0)))</f>
        <v/>
      </c>
      <c r="S42" s="288" t="str">
        <f t="shared" si="4"/>
        <v/>
      </c>
      <c r="T42" s="273" t="str">
        <f t="shared" si="13"/>
        <v/>
      </c>
      <c r="U42" s="287" t="str">
        <f t="array" ref="U42">if(C42=0,"",INDEX('Biaya Gratis Ongkir Xtra'!$C$3:$C$4, MATCH(L42, 'Biaya Gratis Ongkir Xtra'!$B$3:$B$4, 0)))</f>
        <v/>
      </c>
      <c r="V42" s="288" t="str">
        <f t="shared" si="6"/>
        <v/>
      </c>
      <c r="W42" s="264"/>
      <c r="X42" s="289" t="str">
        <f t="shared" si="7"/>
        <v/>
      </c>
      <c r="Y42" s="290" t="str">
        <f t="shared" si="8"/>
        <v/>
      </c>
      <c r="Z42" s="291" t="str">
        <f t="shared" si="9"/>
        <v/>
      </c>
      <c r="AA42" s="289" t="str">
        <f t="shared" si="10"/>
        <v/>
      </c>
      <c r="AB42" s="291" t="str">
        <f t="shared" si="11"/>
        <v/>
      </c>
      <c r="AC42" s="292" t="str">
        <f t="shared" si="12"/>
        <v/>
      </c>
      <c r="AD42" s="281"/>
      <c r="AE42" s="22"/>
    </row>
    <row r="43">
      <c r="A43" s="264"/>
      <c r="B43" s="267"/>
      <c r="C43" s="265"/>
      <c r="D43" s="265"/>
      <c r="E43" s="265"/>
      <c r="F43" s="266"/>
      <c r="G43" s="267" t="str">
        <f t="shared" si="1"/>
        <v/>
      </c>
      <c r="H43" s="264"/>
      <c r="I43" s="282"/>
      <c r="J43" s="282"/>
      <c r="K43" s="282"/>
      <c r="L43" s="282"/>
      <c r="M43" s="269"/>
      <c r="N43" s="283" t="str">
        <f t="array" ref="N43">if(C43=0,"",INDEX('Biaya Administrasi'!E:E, MATCH(I43, 'Biaya Administrasi'!B:B, 0)))</f>
        <v/>
      </c>
      <c r="O43" s="284" t="str">
        <f t="shared" si="2"/>
        <v/>
      </c>
      <c r="P43" s="285" t="str">
        <f t="array" ref="P43">if(J43=0,"",INDEX('Biaya Gratis Ongkir Xtra'!D:D, MATCH(J43, 'Biaya Gratis Ongkir Xtra'!C:C, 0)))</f>
        <v/>
      </c>
      <c r="Q43" s="286" t="str">
        <f t="shared" si="3"/>
        <v/>
      </c>
      <c r="R43" s="287" t="str">
        <f t="array" ref="R43">if(K43=0,"",INDEX('Biaya Gratis Ongkir Xtra'!$C$7:$C$10, MATCH(K43, 'Biaya Gratis Ongkir Xtra'!$B$7:$B$10, 0)))</f>
        <v/>
      </c>
      <c r="S43" s="288" t="str">
        <f t="shared" si="4"/>
        <v/>
      </c>
      <c r="T43" s="273" t="str">
        <f t="shared" si="13"/>
        <v/>
      </c>
      <c r="U43" s="287" t="str">
        <f t="array" ref="U43">if(C43=0,"",INDEX('Biaya Gratis Ongkir Xtra'!$C$3:$C$4, MATCH(L43, 'Biaya Gratis Ongkir Xtra'!$B$3:$B$4, 0)))</f>
        <v/>
      </c>
      <c r="V43" s="288" t="str">
        <f t="shared" si="6"/>
        <v/>
      </c>
      <c r="W43" s="264"/>
      <c r="X43" s="289" t="str">
        <f t="shared" si="7"/>
        <v/>
      </c>
      <c r="Y43" s="290" t="str">
        <f t="shared" si="8"/>
        <v/>
      </c>
      <c r="Z43" s="291" t="str">
        <f t="shared" si="9"/>
        <v/>
      </c>
      <c r="AA43" s="289" t="str">
        <f t="shared" si="10"/>
        <v/>
      </c>
      <c r="AB43" s="291" t="str">
        <f t="shared" si="11"/>
        <v/>
      </c>
      <c r="AC43" s="292" t="str">
        <f t="shared" si="12"/>
        <v/>
      </c>
      <c r="AD43" s="281"/>
      <c r="AE43" s="22"/>
    </row>
    <row r="44">
      <c r="A44" s="264"/>
      <c r="B44" s="267"/>
      <c r="C44" s="265"/>
      <c r="D44" s="265"/>
      <c r="E44" s="265"/>
      <c r="F44" s="266"/>
      <c r="G44" s="267" t="str">
        <f t="shared" si="1"/>
        <v/>
      </c>
      <c r="H44" s="264"/>
      <c r="I44" s="282"/>
      <c r="J44" s="282"/>
      <c r="K44" s="282"/>
      <c r="L44" s="282"/>
      <c r="M44" s="269"/>
      <c r="N44" s="283" t="str">
        <f t="array" ref="N44">if(C44=0,"",INDEX('Biaya Administrasi'!E:E, MATCH(I44, 'Biaya Administrasi'!B:B, 0)))</f>
        <v/>
      </c>
      <c r="O44" s="284" t="str">
        <f t="shared" si="2"/>
        <v/>
      </c>
      <c r="P44" s="285" t="str">
        <f t="array" ref="P44">if(J44=0,"",INDEX('Biaya Gratis Ongkir Xtra'!D:D, MATCH(J44, 'Biaya Gratis Ongkir Xtra'!C:C, 0)))</f>
        <v/>
      </c>
      <c r="Q44" s="286" t="str">
        <f t="shared" si="3"/>
        <v/>
      </c>
      <c r="R44" s="287" t="str">
        <f t="array" ref="R44">if(K44=0,"",INDEX('Biaya Gratis Ongkir Xtra'!$C$7:$C$10, MATCH(K44, 'Biaya Gratis Ongkir Xtra'!$B$7:$B$10, 0)))</f>
        <v/>
      </c>
      <c r="S44" s="288" t="str">
        <f t="shared" si="4"/>
        <v/>
      </c>
      <c r="T44" s="273" t="str">
        <f t="shared" si="13"/>
        <v/>
      </c>
      <c r="U44" s="287" t="str">
        <f t="array" ref="U44">if(C44=0,"",INDEX('Biaya Gratis Ongkir Xtra'!$C$3:$C$4, MATCH(L44, 'Biaya Gratis Ongkir Xtra'!$B$3:$B$4, 0)))</f>
        <v/>
      </c>
      <c r="V44" s="288" t="str">
        <f t="shared" si="6"/>
        <v/>
      </c>
      <c r="W44" s="264"/>
      <c r="X44" s="289" t="str">
        <f t="shared" si="7"/>
        <v/>
      </c>
      <c r="Y44" s="290" t="str">
        <f t="shared" si="8"/>
        <v/>
      </c>
      <c r="Z44" s="291" t="str">
        <f t="shared" si="9"/>
        <v/>
      </c>
      <c r="AA44" s="289" t="str">
        <f t="shared" si="10"/>
        <v/>
      </c>
      <c r="AB44" s="291" t="str">
        <f t="shared" si="11"/>
        <v/>
      </c>
      <c r="AC44" s="292" t="str">
        <f t="shared" si="12"/>
        <v/>
      </c>
      <c r="AD44" s="281"/>
      <c r="AE44" s="22"/>
    </row>
    <row r="45">
      <c r="A45" s="264"/>
      <c r="B45" s="267"/>
      <c r="C45" s="265"/>
      <c r="D45" s="265"/>
      <c r="E45" s="265"/>
      <c r="F45" s="266"/>
      <c r="G45" s="267" t="str">
        <f t="shared" si="1"/>
        <v/>
      </c>
      <c r="H45" s="264"/>
      <c r="I45" s="282"/>
      <c r="J45" s="282"/>
      <c r="K45" s="282"/>
      <c r="L45" s="282"/>
      <c r="M45" s="269"/>
      <c r="N45" s="283" t="str">
        <f t="array" ref="N45">if(C45=0,"",INDEX('Biaya Administrasi'!E:E, MATCH(I45, 'Biaya Administrasi'!B:B, 0)))</f>
        <v/>
      </c>
      <c r="O45" s="284" t="str">
        <f t="shared" si="2"/>
        <v/>
      </c>
      <c r="P45" s="285" t="str">
        <f t="array" ref="P45">if(J45=0,"",INDEX('Biaya Gratis Ongkir Xtra'!D:D, MATCH(J45, 'Biaya Gratis Ongkir Xtra'!C:C, 0)))</f>
        <v/>
      </c>
      <c r="Q45" s="286" t="str">
        <f t="shared" si="3"/>
        <v/>
      </c>
      <c r="R45" s="287" t="str">
        <f t="array" ref="R45">if(K45=0,"",INDEX('Biaya Gratis Ongkir Xtra'!$C$7:$C$10, MATCH(K45, 'Biaya Gratis Ongkir Xtra'!$B$7:$B$10, 0)))</f>
        <v/>
      </c>
      <c r="S45" s="288" t="str">
        <f t="shared" si="4"/>
        <v/>
      </c>
      <c r="T45" s="273" t="str">
        <f t="shared" si="13"/>
        <v/>
      </c>
      <c r="U45" s="287" t="str">
        <f t="array" ref="U45">if(C45=0,"",INDEX('Biaya Gratis Ongkir Xtra'!$C$3:$C$4, MATCH(L45, 'Biaya Gratis Ongkir Xtra'!$B$3:$B$4, 0)))</f>
        <v/>
      </c>
      <c r="V45" s="288" t="str">
        <f t="shared" si="6"/>
        <v/>
      </c>
      <c r="W45" s="264"/>
      <c r="X45" s="289" t="str">
        <f t="shared" si="7"/>
        <v/>
      </c>
      <c r="Y45" s="290" t="str">
        <f t="shared" si="8"/>
        <v/>
      </c>
      <c r="Z45" s="291" t="str">
        <f t="shared" si="9"/>
        <v/>
      </c>
      <c r="AA45" s="289" t="str">
        <f t="shared" si="10"/>
        <v/>
      </c>
      <c r="AB45" s="291" t="str">
        <f t="shared" si="11"/>
        <v/>
      </c>
      <c r="AC45" s="292" t="str">
        <f t="shared" si="12"/>
        <v/>
      </c>
      <c r="AD45" s="281"/>
      <c r="AE45" s="22"/>
    </row>
    <row r="46">
      <c r="A46" s="264"/>
      <c r="B46" s="267"/>
      <c r="C46" s="265"/>
      <c r="D46" s="265"/>
      <c r="E46" s="265"/>
      <c r="F46" s="266"/>
      <c r="G46" s="267" t="str">
        <f t="shared" si="1"/>
        <v/>
      </c>
      <c r="H46" s="264"/>
      <c r="I46" s="282"/>
      <c r="J46" s="282"/>
      <c r="K46" s="282"/>
      <c r="L46" s="282"/>
      <c r="M46" s="269"/>
      <c r="N46" s="283" t="str">
        <f t="array" ref="N46">if(C46=0,"",INDEX('Biaya Administrasi'!E:E, MATCH(I46, 'Biaya Administrasi'!B:B, 0)))</f>
        <v/>
      </c>
      <c r="O46" s="284" t="str">
        <f t="shared" si="2"/>
        <v/>
      </c>
      <c r="P46" s="285" t="str">
        <f t="array" ref="P46">if(J46=0,"",INDEX('Biaya Gratis Ongkir Xtra'!D:D, MATCH(J46, 'Biaya Gratis Ongkir Xtra'!C:C, 0)))</f>
        <v/>
      </c>
      <c r="Q46" s="286" t="str">
        <f t="shared" si="3"/>
        <v/>
      </c>
      <c r="R46" s="287" t="str">
        <f t="array" ref="R46">if(K46=0,"",INDEX('Biaya Gratis Ongkir Xtra'!$C$7:$C$10, MATCH(K46, 'Biaya Gratis Ongkir Xtra'!$B$7:$B$10, 0)))</f>
        <v/>
      </c>
      <c r="S46" s="288" t="str">
        <f t="shared" si="4"/>
        <v/>
      </c>
      <c r="T46" s="273" t="str">
        <f t="shared" si="13"/>
        <v/>
      </c>
      <c r="U46" s="287" t="str">
        <f t="array" ref="U46">if(C46=0,"",INDEX('Biaya Gratis Ongkir Xtra'!$C$3:$C$4, MATCH(L46, 'Biaya Gratis Ongkir Xtra'!$B$3:$B$4, 0)))</f>
        <v/>
      </c>
      <c r="V46" s="288" t="str">
        <f t="shared" si="6"/>
        <v/>
      </c>
      <c r="W46" s="264"/>
      <c r="X46" s="289" t="str">
        <f t="shared" si="7"/>
        <v/>
      </c>
      <c r="Y46" s="290" t="str">
        <f t="shared" si="8"/>
        <v/>
      </c>
      <c r="Z46" s="291" t="str">
        <f t="shared" si="9"/>
        <v/>
      </c>
      <c r="AA46" s="289" t="str">
        <f t="shared" si="10"/>
        <v/>
      </c>
      <c r="AB46" s="291" t="str">
        <f t="shared" si="11"/>
        <v/>
      </c>
      <c r="AC46" s="292" t="str">
        <f t="shared" si="12"/>
        <v/>
      </c>
      <c r="AD46" s="281"/>
      <c r="AE46" s="22"/>
    </row>
    <row r="47">
      <c r="A47" s="264"/>
      <c r="B47" s="267"/>
      <c r="C47" s="265"/>
      <c r="D47" s="265"/>
      <c r="E47" s="265"/>
      <c r="F47" s="266"/>
      <c r="G47" s="267" t="str">
        <f t="shared" si="1"/>
        <v/>
      </c>
      <c r="H47" s="264"/>
      <c r="I47" s="282"/>
      <c r="J47" s="282"/>
      <c r="K47" s="282"/>
      <c r="L47" s="282"/>
      <c r="M47" s="269"/>
      <c r="N47" s="283" t="str">
        <f t="array" ref="N47">if(C47=0,"",INDEX('Biaya Administrasi'!E:E, MATCH(I47, 'Biaya Administrasi'!B:B, 0)))</f>
        <v/>
      </c>
      <c r="O47" s="284" t="str">
        <f t="shared" si="2"/>
        <v/>
      </c>
      <c r="P47" s="285" t="str">
        <f t="array" ref="P47">if(J47=0,"",INDEX('Biaya Gratis Ongkir Xtra'!D:D, MATCH(J47, 'Biaya Gratis Ongkir Xtra'!C:C, 0)))</f>
        <v/>
      </c>
      <c r="Q47" s="286" t="str">
        <f t="shared" si="3"/>
        <v/>
      </c>
      <c r="R47" s="287" t="str">
        <f t="array" ref="R47">if(K47=0,"",INDEX('Biaya Gratis Ongkir Xtra'!$C$7:$C$10, MATCH(K47, 'Biaya Gratis Ongkir Xtra'!$B$7:$B$10, 0)))</f>
        <v/>
      </c>
      <c r="S47" s="288" t="str">
        <f t="shared" si="4"/>
        <v/>
      </c>
      <c r="T47" s="273" t="str">
        <f t="shared" si="13"/>
        <v/>
      </c>
      <c r="U47" s="287" t="str">
        <f t="array" ref="U47">if(C47=0,"",INDEX('Biaya Gratis Ongkir Xtra'!$C$3:$C$4, MATCH(L47, 'Biaya Gratis Ongkir Xtra'!$B$3:$B$4, 0)))</f>
        <v/>
      </c>
      <c r="V47" s="288" t="str">
        <f t="shared" si="6"/>
        <v/>
      </c>
      <c r="W47" s="264"/>
      <c r="X47" s="289" t="str">
        <f t="shared" si="7"/>
        <v/>
      </c>
      <c r="Y47" s="290" t="str">
        <f t="shared" si="8"/>
        <v/>
      </c>
      <c r="Z47" s="291" t="str">
        <f t="shared" si="9"/>
        <v/>
      </c>
      <c r="AA47" s="289" t="str">
        <f t="shared" si="10"/>
        <v/>
      </c>
      <c r="AB47" s="291" t="str">
        <f t="shared" si="11"/>
        <v/>
      </c>
      <c r="AC47" s="292" t="str">
        <f t="shared" si="12"/>
        <v/>
      </c>
      <c r="AD47" s="281"/>
      <c r="AE47" s="22"/>
    </row>
    <row r="48">
      <c r="A48" s="264"/>
      <c r="B48" s="267"/>
      <c r="C48" s="265"/>
      <c r="D48" s="265"/>
      <c r="E48" s="265"/>
      <c r="F48" s="266"/>
      <c r="G48" s="267" t="str">
        <f t="shared" si="1"/>
        <v/>
      </c>
      <c r="H48" s="264"/>
      <c r="I48" s="282"/>
      <c r="J48" s="282"/>
      <c r="K48" s="282"/>
      <c r="L48" s="282"/>
      <c r="M48" s="269"/>
      <c r="N48" s="283" t="str">
        <f t="array" ref="N48">if(C48=0,"",INDEX('Biaya Administrasi'!E:E, MATCH(I48, 'Biaya Administrasi'!B:B, 0)))</f>
        <v/>
      </c>
      <c r="O48" s="284" t="str">
        <f t="shared" si="2"/>
        <v/>
      </c>
      <c r="P48" s="285" t="str">
        <f t="array" ref="P48">if(J48=0,"",INDEX('Biaya Gratis Ongkir Xtra'!D:D, MATCH(J48, 'Biaya Gratis Ongkir Xtra'!C:C, 0)))</f>
        <v/>
      </c>
      <c r="Q48" s="286" t="str">
        <f t="shared" si="3"/>
        <v/>
      </c>
      <c r="R48" s="287" t="str">
        <f t="array" ref="R48">if(K48=0,"",INDEX('Biaya Gratis Ongkir Xtra'!$C$7:$C$10, MATCH(K48, 'Biaya Gratis Ongkir Xtra'!$B$7:$B$10, 0)))</f>
        <v/>
      </c>
      <c r="S48" s="288" t="str">
        <f t="shared" si="4"/>
        <v/>
      </c>
      <c r="T48" s="273" t="str">
        <f t="shared" si="13"/>
        <v/>
      </c>
      <c r="U48" s="287" t="str">
        <f t="array" ref="U48">if(C48=0,"",INDEX('Biaya Gratis Ongkir Xtra'!$C$3:$C$4, MATCH(L48, 'Biaya Gratis Ongkir Xtra'!$B$3:$B$4, 0)))</f>
        <v/>
      </c>
      <c r="V48" s="288" t="str">
        <f t="shared" si="6"/>
        <v/>
      </c>
      <c r="W48" s="264"/>
      <c r="X48" s="289" t="str">
        <f t="shared" si="7"/>
        <v/>
      </c>
      <c r="Y48" s="290" t="str">
        <f t="shared" si="8"/>
        <v/>
      </c>
      <c r="Z48" s="291" t="str">
        <f t="shared" si="9"/>
        <v/>
      </c>
      <c r="AA48" s="289" t="str">
        <f t="shared" si="10"/>
        <v/>
      </c>
      <c r="AB48" s="291" t="str">
        <f t="shared" si="11"/>
        <v/>
      </c>
      <c r="AC48" s="292" t="str">
        <f t="shared" si="12"/>
        <v/>
      </c>
      <c r="AD48" s="281"/>
      <c r="AE48" s="22"/>
    </row>
    <row r="49">
      <c r="A49" s="264"/>
      <c r="B49" s="267"/>
      <c r="C49" s="265"/>
      <c r="D49" s="265"/>
      <c r="E49" s="265"/>
      <c r="F49" s="266"/>
      <c r="G49" s="267" t="str">
        <f t="shared" si="1"/>
        <v/>
      </c>
      <c r="H49" s="264"/>
      <c r="I49" s="282"/>
      <c r="J49" s="282"/>
      <c r="K49" s="282"/>
      <c r="L49" s="282"/>
      <c r="M49" s="269"/>
      <c r="N49" s="283" t="str">
        <f t="array" ref="N49">if(C49=0,"",INDEX('Biaya Administrasi'!E:E, MATCH(I49, 'Biaya Administrasi'!B:B, 0)))</f>
        <v/>
      </c>
      <c r="O49" s="284" t="str">
        <f t="shared" si="2"/>
        <v/>
      </c>
      <c r="P49" s="285" t="str">
        <f t="array" ref="P49">if(J49=0,"",INDEX('Biaya Gratis Ongkir Xtra'!D:D, MATCH(J49, 'Biaya Gratis Ongkir Xtra'!C:C, 0)))</f>
        <v/>
      </c>
      <c r="Q49" s="286" t="str">
        <f t="shared" si="3"/>
        <v/>
      </c>
      <c r="R49" s="287" t="str">
        <f t="array" ref="R49">if(K49=0,"",INDEX('Biaya Gratis Ongkir Xtra'!$C$7:$C$10, MATCH(K49, 'Biaya Gratis Ongkir Xtra'!$B$7:$B$10, 0)))</f>
        <v/>
      </c>
      <c r="S49" s="288" t="str">
        <f t="shared" si="4"/>
        <v/>
      </c>
      <c r="T49" s="273" t="str">
        <f t="shared" si="13"/>
        <v/>
      </c>
      <c r="U49" s="287" t="str">
        <f t="array" ref="U49">if(C49=0,"",INDEX('Biaya Gratis Ongkir Xtra'!$C$3:$C$4, MATCH(L49, 'Biaya Gratis Ongkir Xtra'!$B$3:$B$4, 0)))</f>
        <v/>
      </c>
      <c r="V49" s="288" t="str">
        <f t="shared" si="6"/>
        <v/>
      </c>
      <c r="W49" s="264"/>
      <c r="X49" s="289" t="str">
        <f t="shared" si="7"/>
        <v/>
      </c>
      <c r="Y49" s="290" t="str">
        <f t="shared" si="8"/>
        <v/>
      </c>
      <c r="Z49" s="291" t="str">
        <f t="shared" si="9"/>
        <v/>
      </c>
      <c r="AA49" s="289" t="str">
        <f t="shared" si="10"/>
        <v/>
      </c>
      <c r="AB49" s="291" t="str">
        <f t="shared" si="11"/>
        <v/>
      </c>
      <c r="AC49" s="292" t="str">
        <f t="shared" si="12"/>
        <v/>
      </c>
      <c r="AD49" s="281"/>
      <c r="AE49" s="22"/>
    </row>
    <row r="50">
      <c r="A50" s="264"/>
      <c r="B50" s="267"/>
      <c r="C50" s="265"/>
      <c r="D50" s="265"/>
      <c r="E50" s="265"/>
      <c r="F50" s="266"/>
      <c r="G50" s="267" t="str">
        <f t="shared" si="1"/>
        <v/>
      </c>
      <c r="H50" s="264"/>
      <c r="I50" s="282"/>
      <c r="J50" s="282"/>
      <c r="K50" s="282"/>
      <c r="L50" s="282"/>
      <c r="M50" s="269"/>
      <c r="N50" s="283" t="str">
        <f t="array" ref="N50">if(C50=0,"",INDEX('Biaya Administrasi'!E:E, MATCH(I50, 'Biaya Administrasi'!B:B, 0)))</f>
        <v/>
      </c>
      <c r="O50" s="284" t="str">
        <f t="shared" si="2"/>
        <v/>
      </c>
      <c r="P50" s="285" t="str">
        <f t="array" ref="P50">if(J50=0,"",INDEX('Biaya Gratis Ongkir Xtra'!D:D, MATCH(J50, 'Biaya Gratis Ongkir Xtra'!C:C, 0)))</f>
        <v/>
      </c>
      <c r="Q50" s="286" t="str">
        <f t="shared" si="3"/>
        <v/>
      </c>
      <c r="R50" s="287" t="str">
        <f t="array" ref="R50">if(K50=0,"",INDEX('Biaya Gratis Ongkir Xtra'!$C$7:$C$10, MATCH(K50, 'Biaya Gratis Ongkir Xtra'!$B$7:$B$10, 0)))</f>
        <v/>
      </c>
      <c r="S50" s="288" t="str">
        <f t="shared" si="4"/>
        <v/>
      </c>
      <c r="T50" s="273" t="str">
        <f t="shared" si="13"/>
        <v/>
      </c>
      <c r="U50" s="287" t="str">
        <f t="array" ref="U50">if(C50=0,"",INDEX('Biaya Gratis Ongkir Xtra'!$C$3:$C$4, MATCH(L50, 'Biaya Gratis Ongkir Xtra'!$B$3:$B$4, 0)))</f>
        <v/>
      </c>
      <c r="V50" s="288" t="str">
        <f t="shared" si="6"/>
        <v/>
      </c>
      <c r="W50" s="264"/>
      <c r="X50" s="289" t="str">
        <f t="shared" si="7"/>
        <v/>
      </c>
      <c r="Y50" s="290" t="str">
        <f t="shared" si="8"/>
        <v/>
      </c>
      <c r="Z50" s="291" t="str">
        <f t="shared" si="9"/>
        <v/>
      </c>
      <c r="AA50" s="289" t="str">
        <f t="shared" si="10"/>
        <v/>
      </c>
      <c r="AB50" s="291" t="str">
        <f t="shared" si="11"/>
        <v/>
      </c>
      <c r="AC50" s="292" t="str">
        <f t="shared" si="12"/>
        <v/>
      </c>
      <c r="AD50" s="281"/>
      <c r="AE50" s="22"/>
    </row>
    <row r="51">
      <c r="A51" s="264"/>
      <c r="B51" s="267"/>
      <c r="C51" s="265"/>
      <c r="D51" s="265"/>
      <c r="E51" s="265"/>
      <c r="F51" s="266"/>
      <c r="G51" s="267" t="str">
        <f t="shared" si="1"/>
        <v/>
      </c>
      <c r="H51" s="264"/>
      <c r="I51" s="282"/>
      <c r="J51" s="282"/>
      <c r="K51" s="282"/>
      <c r="L51" s="282"/>
      <c r="M51" s="269"/>
      <c r="N51" s="283" t="str">
        <f t="array" ref="N51">if(C51=0,"",INDEX('Biaya Administrasi'!E:E, MATCH(I51, 'Biaya Administrasi'!B:B, 0)))</f>
        <v/>
      </c>
      <c r="O51" s="284" t="str">
        <f t="shared" si="2"/>
        <v/>
      </c>
      <c r="P51" s="285" t="str">
        <f t="array" ref="P51">if(J51=0,"",INDEX('Biaya Gratis Ongkir Xtra'!D:D, MATCH(J51, 'Biaya Gratis Ongkir Xtra'!C:C, 0)))</f>
        <v/>
      </c>
      <c r="Q51" s="286" t="str">
        <f t="shared" si="3"/>
        <v/>
      </c>
      <c r="R51" s="287" t="str">
        <f t="array" ref="R51">if(K51=0,"",INDEX('Biaya Gratis Ongkir Xtra'!$C$7:$C$10, MATCH(K51, 'Biaya Gratis Ongkir Xtra'!$B$7:$B$10, 0)))</f>
        <v/>
      </c>
      <c r="S51" s="288" t="str">
        <f t="shared" si="4"/>
        <v/>
      </c>
      <c r="T51" s="273" t="str">
        <f t="shared" si="13"/>
        <v/>
      </c>
      <c r="U51" s="287" t="str">
        <f t="array" ref="U51">if(C51=0,"",INDEX('Biaya Gratis Ongkir Xtra'!$C$3:$C$4, MATCH(L51, 'Biaya Gratis Ongkir Xtra'!$B$3:$B$4, 0)))</f>
        <v/>
      </c>
      <c r="V51" s="288" t="str">
        <f t="shared" si="6"/>
        <v/>
      </c>
      <c r="W51" s="264"/>
      <c r="X51" s="289" t="str">
        <f t="shared" si="7"/>
        <v/>
      </c>
      <c r="Y51" s="290" t="str">
        <f t="shared" si="8"/>
        <v/>
      </c>
      <c r="Z51" s="291" t="str">
        <f t="shared" si="9"/>
        <v/>
      </c>
      <c r="AA51" s="289" t="str">
        <f t="shared" si="10"/>
        <v/>
      </c>
      <c r="AB51" s="291" t="str">
        <f t="shared" si="11"/>
        <v/>
      </c>
      <c r="AC51" s="292" t="str">
        <f t="shared" si="12"/>
        <v/>
      </c>
      <c r="AD51" s="281"/>
      <c r="AE51" s="22"/>
    </row>
    <row r="52">
      <c r="A52" s="264"/>
      <c r="B52" s="267"/>
      <c r="C52" s="265"/>
      <c r="D52" s="265"/>
      <c r="E52" s="265"/>
      <c r="F52" s="266"/>
      <c r="G52" s="267" t="str">
        <f t="shared" si="1"/>
        <v/>
      </c>
      <c r="H52" s="264"/>
      <c r="I52" s="282"/>
      <c r="J52" s="282"/>
      <c r="K52" s="282"/>
      <c r="L52" s="282"/>
      <c r="M52" s="269"/>
      <c r="N52" s="283" t="str">
        <f t="array" ref="N52">if(C52=0,"",INDEX('Biaya Administrasi'!E:E, MATCH(I52, 'Biaya Administrasi'!B:B, 0)))</f>
        <v/>
      </c>
      <c r="O52" s="284" t="str">
        <f t="shared" si="2"/>
        <v/>
      </c>
      <c r="P52" s="285" t="str">
        <f t="array" ref="P52">if(J52=0,"",INDEX('Biaya Gratis Ongkir Xtra'!D:D, MATCH(J52, 'Biaya Gratis Ongkir Xtra'!C:C, 0)))</f>
        <v/>
      </c>
      <c r="Q52" s="286" t="str">
        <f t="shared" si="3"/>
        <v/>
      </c>
      <c r="R52" s="287" t="str">
        <f t="array" ref="R52">if(K52=0,"",INDEX('Biaya Gratis Ongkir Xtra'!$C$7:$C$10, MATCH(K52, 'Biaya Gratis Ongkir Xtra'!$B$7:$B$10, 0)))</f>
        <v/>
      </c>
      <c r="S52" s="288" t="str">
        <f t="shared" si="4"/>
        <v/>
      </c>
      <c r="T52" s="273" t="str">
        <f t="shared" si="13"/>
        <v/>
      </c>
      <c r="U52" s="287" t="str">
        <f t="array" ref="U52">if(C52=0,"",INDEX('Biaya Gratis Ongkir Xtra'!$C$3:$C$4, MATCH(L52, 'Biaya Gratis Ongkir Xtra'!$B$3:$B$4, 0)))</f>
        <v/>
      </c>
      <c r="V52" s="288" t="str">
        <f t="shared" si="6"/>
        <v/>
      </c>
      <c r="W52" s="264"/>
      <c r="X52" s="289" t="str">
        <f t="shared" si="7"/>
        <v/>
      </c>
      <c r="Y52" s="290" t="str">
        <f t="shared" si="8"/>
        <v/>
      </c>
      <c r="Z52" s="291" t="str">
        <f t="shared" si="9"/>
        <v/>
      </c>
      <c r="AA52" s="289" t="str">
        <f t="shared" si="10"/>
        <v/>
      </c>
      <c r="AB52" s="291" t="str">
        <f t="shared" si="11"/>
        <v/>
      </c>
      <c r="AC52" s="292" t="str">
        <f t="shared" si="12"/>
        <v/>
      </c>
      <c r="AD52" s="281"/>
      <c r="AE52" s="22"/>
    </row>
    <row r="53">
      <c r="A53" s="264"/>
      <c r="B53" s="267"/>
      <c r="C53" s="265"/>
      <c r="D53" s="265"/>
      <c r="E53" s="265"/>
      <c r="F53" s="266"/>
      <c r="G53" s="267" t="str">
        <f t="shared" si="1"/>
        <v/>
      </c>
      <c r="H53" s="264"/>
      <c r="I53" s="282"/>
      <c r="J53" s="282"/>
      <c r="K53" s="282"/>
      <c r="L53" s="282"/>
      <c r="M53" s="269"/>
      <c r="N53" s="283" t="str">
        <f t="array" ref="N53">if(C53=0,"",INDEX('Biaya Administrasi'!E:E, MATCH(I53, 'Biaya Administrasi'!B:B, 0)))</f>
        <v/>
      </c>
      <c r="O53" s="284" t="str">
        <f t="shared" si="2"/>
        <v/>
      </c>
      <c r="P53" s="285" t="str">
        <f t="array" ref="P53">if(J53=0,"",INDEX('Biaya Gratis Ongkir Xtra'!D:D, MATCH(J53, 'Biaya Gratis Ongkir Xtra'!C:C, 0)))</f>
        <v/>
      </c>
      <c r="Q53" s="286" t="str">
        <f t="shared" si="3"/>
        <v/>
      </c>
      <c r="R53" s="287" t="str">
        <f t="array" ref="R53">if(K53=0,"",INDEX('Biaya Gratis Ongkir Xtra'!$C$7:$C$10, MATCH(K53, 'Biaya Gratis Ongkir Xtra'!$B$7:$B$10, 0)))</f>
        <v/>
      </c>
      <c r="S53" s="288" t="str">
        <f t="shared" si="4"/>
        <v/>
      </c>
      <c r="T53" s="273" t="str">
        <f t="shared" si="13"/>
        <v/>
      </c>
      <c r="U53" s="287" t="str">
        <f t="array" ref="U53">if(C53=0,"",INDEX('Biaya Gratis Ongkir Xtra'!$C$3:$C$4, MATCH(L53, 'Biaya Gratis Ongkir Xtra'!$B$3:$B$4, 0)))</f>
        <v/>
      </c>
      <c r="V53" s="288" t="str">
        <f t="shared" si="6"/>
        <v/>
      </c>
      <c r="W53" s="264"/>
      <c r="X53" s="289" t="str">
        <f t="shared" si="7"/>
        <v/>
      </c>
      <c r="Y53" s="290" t="str">
        <f t="shared" si="8"/>
        <v/>
      </c>
      <c r="Z53" s="291" t="str">
        <f t="shared" si="9"/>
        <v/>
      </c>
      <c r="AA53" s="289" t="str">
        <f t="shared" si="10"/>
        <v/>
      </c>
      <c r="AB53" s="291" t="str">
        <f t="shared" si="11"/>
        <v/>
      </c>
      <c r="AC53" s="292" t="str">
        <f t="shared" si="12"/>
        <v/>
      </c>
      <c r="AD53" s="281"/>
      <c r="AE53" s="22"/>
    </row>
    <row r="54">
      <c r="A54" s="264"/>
      <c r="B54" s="267"/>
      <c r="C54" s="265"/>
      <c r="D54" s="265"/>
      <c r="E54" s="265"/>
      <c r="F54" s="266"/>
      <c r="G54" s="267" t="str">
        <f t="shared" si="1"/>
        <v/>
      </c>
      <c r="H54" s="264"/>
      <c r="I54" s="282"/>
      <c r="J54" s="282"/>
      <c r="K54" s="282"/>
      <c r="L54" s="282"/>
      <c r="M54" s="269"/>
      <c r="N54" s="283" t="str">
        <f t="array" ref="N54">if(C54=0,"",INDEX('Biaya Administrasi'!E:E, MATCH(I54, 'Biaya Administrasi'!B:B, 0)))</f>
        <v/>
      </c>
      <c r="O54" s="284" t="str">
        <f t="shared" si="2"/>
        <v/>
      </c>
      <c r="P54" s="285" t="str">
        <f t="array" ref="P54">if(J54=0,"",INDEX('Biaya Gratis Ongkir Xtra'!D:D, MATCH(J54, 'Biaya Gratis Ongkir Xtra'!C:C, 0)))</f>
        <v/>
      </c>
      <c r="Q54" s="286" t="str">
        <f t="shared" si="3"/>
        <v/>
      </c>
      <c r="R54" s="287" t="str">
        <f t="array" ref="R54">if(K54=0,"",INDEX('Biaya Gratis Ongkir Xtra'!$C$7:$C$10, MATCH(K54, 'Biaya Gratis Ongkir Xtra'!$B$7:$B$10, 0)))</f>
        <v/>
      </c>
      <c r="S54" s="288" t="str">
        <f t="shared" si="4"/>
        <v/>
      </c>
      <c r="T54" s="273" t="str">
        <f t="shared" si="13"/>
        <v/>
      </c>
      <c r="U54" s="287" t="str">
        <f t="array" ref="U54">if(C54=0,"",INDEX('Biaya Gratis Ongkir Xtra'!$C$3:$C$4, MATCH(L54, 'Biaya Gratis Ongkir Xtra'!$B$3:$B$4, 0)))</f>
        <v/>
      </c>
      <c r="V54" s="288" t="str">
        <f t="shared" si="6"/>
        <v/>
      </c>
      <c r="W54" s="264"/>
      <c r="X54" s="289" t="str">
        <f t="shared" si="7"/>
        <v/>
      </c>
      <c r="Y54" s="290" t="str">
        <f t="shared" si="8"/>
        <v/>
      </c>
      <c r="Z54" s="291" t="str">
        <f t="shared" si="9"/>
        <v/>
      </c>
      <c r="AA54" s="289" t="str">
        <f t="shared" si="10"/>
        <v/>
      </c>
      <c r="AB54" s="291" t="str">
        <f t="shared" si="11"/>
        <v/>
      </c>
      <c r="AC54" s="292" t="str">
        <f t="shared" si="12"/>
        <v/>
      </c>
      <c r="AD54" s="281"/>
      <c r="AE54" s="22"/>
    </row>
    <row r="55">
      <c r="A55" s="264"/>
      <c r="B55" s="267"/>
      <c r="C55" s="265"/>
      <c r="D55" s="265"/>
      <c r="E55" s="265"/>
      <c r="F55" s="266"/>
      <c r="G55" s="267" t="str">
        <f t="shared" si="1"/>
        <v/>
      </c>
      <c r="H55" s="264"/>
      <c r="I55" s="282"/>
      <c r="J55" s="282"/>
      <c r="K55" s="282"/>
      <c r="L55" s="282"/>
      <c r="M55" s="269"/>
      <c r="N55" s="283" t="str">
        <f t="array" ref="N55">if(C55=0,"",INDEX('Biaya Administrasi'!E:E, MATCH(I55, 'Biaya Administrasi'!B:B, 0)))</f>
        <v/>
      </c>
      <c r="O55" s="284" t="str">
        <f t="shared" si="2"/>
        <v/>
      </c>
      <c r="P55" s="285" t="str">
        <f t="array" ref="P55">if(J55=0,"",INDEX('Biaya Gratis Ongkir Xtra'!D:D, MATCH(J55, 'Biaya Gratis Ongkir Xtra'!C:C, 0)))</f>
        <v/>
      </c>
      <c r="Q55" s="286" t="str">
        <f t="shared" si="3"/>
        <v/>
      </c>
      <c r="R55" s="287" t="str">
        <f t="array" ref="R55">if(K55=0,"",INDEX('Biaya Gratis Ongkir Xtra'!$C$7:$C$10, MATCH(K55, 'Biaya Gratis Ongkir Xtra'!$B$7:$B$10, 0)))</f>
        <v/>
      </c>
      <c r="S55" s="288" t="str">
        <f t="shared" si="4"/>
        <v/>
      </c>
      <c r="T55" s="273" t="str">
        <f t="shared" si="13"/>
        <v/>
      </c>
      <c r="U55" s="287" t="str">
        <f t="array" ref="U55">if(C55=0,"",INDEX('Biaya Gratis Ongkir Xtra'!$C$3:$C$4, MATCH(L55, 'Biaya Gratis Ongkir Xtra'!$B$3:$B$4, 0)))</f>
        <v/>
      </c>
      <c r="V55" s="288" t="str">
        <f t="shared" si="6"/>
        <v/>
      </c>
      <c r="W55" s="264"/>
      <c r="X55" s="289" t="str">
        <f t="shared" si="7"/>
        <v/>
      </c>
      <c r="Y55" s="290" t="str">
        <f t="shared" si="8"/>
        <v/>
      </c>
      <c r="Z55" s="291" t="str">
        <f t="shared" si="9"/>
        <v/>
      </c>
      <c r="AA55" s="289" t="str">
        <f t="shared" si="10"/>
        <v/>
      </c>
      <c r="AB55" s="291" t="str">
        <f t="shared" si="11"/>
        <v/>
      </c>
      <c r="AC55" s="292" t="str">
        <f t="shared" si="12"/>
        <v/>
      </c>
      <c r="AD55" s="281"/>
      <c r="AE55" s="22"/>
    </row>
    <row r="56">
      <c r="A56" s="264"/>
      <c r="B56" s="267"/>
      <c r="C56" s="265"/>
      <c r="D56" s="265"/>
      <c r="E56" s="265"/>
      <c r="F56" s="266"/>
      <c r="G56" s="267" t="str">
        <f t="shared" si="1"/>
        <v/>
      </c>
      <c r="H56" s="264"/>
      <c r="I56" s="282"/>
      <c r="J56" s="282"/>
      <c r="K56" s="282"/>
      <c r="L56" s="282"/>
      <c r="M56" s="269"/>
      <c r="N56" s="283" t="str">
        <f t="array" ref="N56">if(C56=0,"",INDEX('Biaya Administrasi'!E:E, MATCH(I56, 'Biaya Administrasi'!B:B, 0)))</f>
        <v/>
      </c>
      <c r="O56" s="284" t="str">
        <f t="shared" si="2"/>
        <v/>
      </c>
      <c r="P56" s="285" t="str">
        <f t="array" ref="P56">if(J56=0,"",INDEX('Biaya Gratis Ongkir Xtra'!D:D, MATCH(J56, 'Biaya Gratis Ongkir Xtra'!C:C, 0)))</f>
        <v/>
      </c>
      <c r="Q56" s="286" t="str">
        <f t="shared" si="3"/>
        <v/>
      </c>
      <c r="R56" s="287" t="str">
        <f t="array" ref="R56">if(K56=0,"",INDEX('Biaya Gratis Ongkir Xtra'!$C$7:$C$10, MATCH(K56, 'Biaya Gratis Ongkir Xtra'!$B$7:$B$10, 0)))</f>
        <v/>
      </c>
      <c r="S56" s="288" t="str">
        <f t="shared" si="4"/>
        <v/>
      </c>
      <c r="T56" s="273" t="str">
        <f t="shared" si="13"/>
        <v/>
      </c>
      <c r="U56" s="287" t="str">
        <f t="array" ref="U56">if(C56=0,"",INDEX('Biaya Gratis Ongkir Xtra'!$C$3:$C$4, MATCH(L56, 'Biaya Gratis Ongkir Xtra'!$B$3:$B$4, 0)))</f>
        <v/>
      </c>
      <c r="V56" s="288" t="str">
        <f t="shared" si="6"/>
        <v/>
      </c>
      <c r="W56" s="264"/>
      <c r="X56" s="289" t="str">
        <f t="shared" si="7"/>
        <v/>
      </c>
      <c r="Y56" s="290" t="str">
        <f t="shared" si="8"/>
        <v/>
      </c>
      <c r="Z56" s="291" t="str">
        <f t="shared" si="9"/>
        <v/>
      </c>
      <c r="AA56" s="289" t="str">
        <f t="shared" si="10"/>
        <v/>
      </c>
      <c r="AB56" s="291" t="str">
        <f t="shared" si="11"/>
        <v/>
      </c>
      <c r="AC56" s="292" t="str">
        <f t="shared" si="12"/>
        <v/>
      </c>
      <c r="AD56" s="281"/>
      <c r="AE56" s="22"/>
    </row>
    <row r="57">
      <c r="A57" s="264"/>
      <c r="B57" s="267"/>
      <c r="C57" s="265"/>
      <c r="D57" s="265"/>
      <c r="E57" s="265"/>
      <c r="F57" s="266"/>
      <c r="G57" s="267" t="str">
        <f t="shared" si="1"/>
        <v/>
      </c>
      <c r="H57" s="264"/>
      <c r="I57" s="282"/>
      <c r="J57" s="282"/>
      <c r="K57" s="282"/>
      <c r="L57" s="282"/>
      <c r="M57" s="269"/>
      <c r="N57" s="283" t="str">
        <f t="array" ref="N57">if(C57=0,"",INDEX('Biaya Administrasi'!E:E, MATCH(I57, 'Biaya Administrasi'!B:B, 0)))</f>
        <v/>
      </c>
      <c r="O57" s="284" t="str">
        <f t="shared" si="2"/>
        <v/>
      </c>
      <c r="P57" s="285" t="str">
        <f t="array" ref="P57">if(J57=0,"",INDEX('Biaya Gratis Ongkir Xtra'!D:D, MATCH(J57, 'Biaya Gratis Ongkir Xtra'!C:C, 0)))</f>
        <v/>
      </c>
      <c r="Q57" s="286" t="str">
        <f t="shared" si="3"/>
        <v/>
      </c>
      <c r="R57" s="287" t="str">
        <f t="array" ref="R57">if(K57=0,"",INDEX('Biaya Gratis Ongkir Xtra'!$C$7:$C$10, MATCH(K57, 'Biaya Gratis Ongkir Xtra'!$B$7:$B$10, 0)))</f>
        <v/>
      </c>
      <c r="S57" s="288" t="str">
        <f t="shared" si="4"/>
        <v/>
      </c>
      <c r="T57" s="273" t="str">
        <f t="shared" si="13"/>
        <v/>
      </c>
      <c r="U57" s="287" t="str">
        <f t="array" ref="U57">if(C57=0,"",INDEX('Biaya Gratis Ongkir Xtra'!$C$3:$C$4, MATCH(L57, 'Biaya Gratis Ongkir Xtra'!$B$3:$B$4, 0)))</f>
        <v/>
      </c>
      <c r="V57" s="288" t="str">
        <f t="shared" si="6"/>
        <v/>
      </c>
      <c r="W57" s="264"/>
      <c r="X57" s="289" t="str">
        <f t="shared" si="7"/>
        <v/>
      </c>
      <c r="Y57" s="290" t="str">
        <f t="shared" si="8"/>
        <v/>
      </c>
      <c r="Z57" s="291" t="str">
        <f t="shared" si="9"/>
        <v/>
      </c>
      <c r="AA57" s="289" t="str">
        <f t="shared" si="10"/>
        <v/>
      </c>
      <c r="AB57" s="291" t="str">
        <f t="shared" si="11"/>
        <v/>
      </c>
      <c r="AC57" s="292" t="str">
        <f t="shared" si="12"/>
        <v/>
      </c>
      <c r="AD57" s="281"/>
      <c r="AE57" s="22"/>
    </row>
    <row r="58">
      <c r="A58" s="264"/>
      <c r="B58" s="267"/>
      <c r="C58" s="265"/>
      <c r="D58" s="265"/>
      <c r="E58" s="265"/>
      <c r="F58" s="266"/>
      <c r="G58" s="267" t="str">
        <f t="shared" si="1"/>
        <v/>
      </c>
      <c r="H58" s="264"/>
      <c r="I58" s="282"/>
      <c r="J58" s="282"/>
      <c r="K58" s="282"/>
      <c r="L58" s="282"/>
      <c r="M58" s="269"/>
      <c r="N58" s="283" t="str">
        <f t="array" ref="N58">if(C58=0,"",INDEX('Biaya Administrasi'!E:E, MATCH(I58, 'Biaya Administrasi'!B:B, 0)))</f>
        <v/>
      </c>
      <c r="O58" s="284" t="str">
        <f t="shared" si="2"/>
        <v/>
      </c>
      <c r="P58" s="285" t="str">
        <f t="array" ref="P58">if(J58=0,"",INDEX('Biaya Gratis Ongkir Xtra'!D:D, MATCH(J58, 'Biaya Gratis Ongkir Xtra'!C:C, 0)))</f>
        <v/>
      </c>
      <c r="Q58" s="286" t="str">
        <f t="shared" si="3"/>
        <v/>
      </c>
      <c r="R58" s="287" t="str">
        <f t="array" ref="R58">if(K58=0,"",INDEX('Biaya Gratis Ongkir Xtra'!$C$7:$C$10, MATCH(K58, 'Biaya Gratis Ongkir Xtra'!$B$7:$B$10, 0)))</f>
        <v/>
      </c>
      <c r="S58" s="288" t="str">
        <f t="shared" si="4"/>
        <v/>
      </c>
      <c r="T58" s="273" t="str">
        <f t="shared" si="13"/>
        <v/>
      </c>
      <c r="U58" s="287" t="str">
        <f t="array" ref="U58">if(C58=0,"",INDEX('Biaya Gratis Ongkir Xtra'!$C$3:$C$4, MATCH(L58, 'Biaya Gratis Ongkir Xtra'!$B$3:$B$4, 0)))</f>
        <v/>
      </c>
      <c r="V58" s="288" t="str">
        <f t="shared" si="6"/>
        <v/>
      </c>
      <c r="W58" s="264"/>
      <c r="X58" s="289" t="str">
        <f t="shared" si="7"/>
        <v/>
      </c>
      <c r="Y58" s="290" t="str">
        <f t="shared" si="8"/>
        <v/>
      </c>
      <c r="Z58" s="291" t="str">
        <f t="shared" si="9"/>
        <v/>
      </c>
      <c r="AA58" s="289" t="str">
        <f t="shared" si="10"/>
        <v/>
      </c>
      <c r="AB58" s="291" t="str">
        <f t="shared" si="11"/>
        <v/>
      </c>
      <c r="AC58" s="292" t="str">
        <f t="shared" si="12"/>
        <v/>
      </c>
      <c r="AD58" s="281"/>
      <c r="AE58" s="22"/>
    </row>
    <row r="59">
      <c r="A59" s="264"/>
      <c r="B59" s="267"/>
      <c r="C59" s="265"/>
      <c r="D59" s="265"/>
      <c r="E59" s="265"/>
      <c r="F59" s="266"/>
      <c r="G59" s="267" t="str">
        <f t="shared" si="1"/>
        <v/>
      </c>
      <c r="H59" s="264"/>
      <c r="I59" s="282"/>
      <c r="J59" s="282"/>
      <c r="K59" s="282"/>
      <c r="L59" s="282"/>
      <c r="M59" s="269"/>
      <c r="N59" s="283" t="str">
        <f t="array" ref="N59">if(C59=0,"",INDEX('Biaya Administrasi'!E:E, MATCH(I59, 'Biaya Administrasi'!B:B, 0)))</f>
        <v/>
      </c>
      <c r="O59" s="284" t="str">
        <f t="shared" si="2"/>
        <v/>
      </c>
      <c r="P59" s="285" t="str">
        <f t="array" ref="P59">if(J59=0,"",INDEX('Biaya Gratis Ongkir Xtra'!D:D, MATCH(J59, 'Biaya Gratis Ongkir Xtra'!C:C, 0)))</f>
        <v/>
      </c>
      <c r="Q59" s="286" t="str">
        <f t="shared" si="3"/>
        <v/>
      </c>
      <c r="R59" s="287" t="str">
        <f t="array" ref="R59">if(K59=0,"",INDEX('Biaya Gratis Ongkir Xtra'!$C$7:$C$10, MATCH(K59, 'Biaya Gratis Ongkir Xtra'!$B$7:$B$10, 0)))</f>
        <v/>
      </c>
      <c r="S59" s="288" t="str">
        <f t="shared" si="4"/>
        <v/>
      </c>
      <c r="T59" s="273" t="str">
        <f t="shared" si="13"/>
        <v/>
      </c>
      <c r="U59" s="287" t="str">
        <f t="array" ref="U59">if(C59=0,"",INDEX('Biaya Gratis Ongkir Xtra'!$C$3:$C$4, MATCH(L59, 'Biaya Gratis Ongkir Xtra'!$B$3:$B$4, 0)))</f>
        <v/>
      </c>
      <c r="V59" s="288" t="str">
        <f t="shared" si="6"/>
        <v/>
      </c>
      <c r="W59" s="264"/>
      <c r="X59" s="289" t="str">
        <f t="shared" si="7"/>
        <v/>
      </c>
      <c r="Y59" s="290" t="str">
        <f t="shared" si="8"/>
        <v/>
      </c>
      <c r="Z59" s="291" t="str">
        <f t="shared" si="9"/>
        <v/>
      </c>
      <c r="AA59" s="289" t="str">
        <f t="shared" si="10"/>
        <v/>
      </c>
      <c r="AB59" s="291" t="str">
        <f t="shared" si="11"/>
        <v/>
      </c>
      <c r="AC59" s="292" t="str">
        <f t="shared" si="12"/>
        <v/>
      </c>
      <c r="AD59" s="281"/>
      <c r="AE59" s="22"/>
    </row>
    <row r="60">
      <c r="A60" s="264"/>
      <c r="B60" s="267"/>
      <c r="C60" s="265"/>
      <c r="D60" s="265"/>
      <c r="E60" s="265"/>
      <c r="F60" s="266"/>
      <c r="G60" s="267" t="str">
        <f t="shared" si="1"/>
        <v/>
      </c>
      <c r="H60" s="264"/>
      <c r="I60" s="282"/>
      <c r="J60" s="282"/>
      <c r="K60" s="282"/>
      <c r="L60" s="282"/>
      <c r="M60" s="269"/>
      <c r="N60" s="283" t="str">
        <f t="array" ref="N60">if(C60=0,"",INDEX('Biaya Administrasi'!E:E, MATCH(I60, 'Biaya Administrasi'!B:B, 0)))</f>
        <v/>
      </c>
      <c r="O60" s="284" t="str">
        <f t="shared" si="2"/>
        <v/>
      </c>
      <c r="P60" s="285" t="str">
        <f t="array" ref="P60">if(J60=0,"",INDEX('Biaya Gratis Ongkir Xtra'!D:D, MATCH(J60, 'Biaya Gratis Ongkir Xtra'!C:C, 0)))</f>
        <v/>
      </c>
      <c r="Q60" s="286" t="str">
        <f t="shared" si="3"/>
        <v/>
      </c>
      <c r="R60" s="287" t="str">
        <f t="array" ref="R60">if(K60=0,"",INDEX('Biaya Gratis Ongkir Xtra'!$C$7:$C$10, MATCH(K60, 'Biaya Gratis Ongkir Xtra'!$B$7:$B$10, 0)))</f>
        <v/>
      </c>
      <c r="S60" s="288" t="str">
        <f t="shared" si="4"/>
        <v/>
      </c>
      <c r="T60" s="273" t="str">
        <f t="shared" si="13"/>
        <v/>
      </c>
      <c r="U60" s="287" t="str">
        <f t="array" ref="U60">if(C60=0,"",INDEX('Biaya Gratis Ongkir Xtra'!$C$3:$C$4, MATCH(L60, 'Biaya Gratis Ongkir Xtra'!$B$3:$B$4, 0)))</f>
        <v/>
      </c>
      <c r="V60" s="288" t="str">
        <f t="shared" si="6"/>
        <v/>
      </c>
      <c r="W60" s="264"/>
      <c r="X60" s="289" t="str">
        <f t="shared" si="7"/>
        <v/>
      </c>
      <c r="Y60" s="290" t="str">
        <f t="shared" si="8"/>
        <v/>
      </c>
      <c r="Z60" s="291" t="str">
        <f t="shared" si="9"/>
        <v/>
      </c>
      <c r="AA60" s="289" t="str">
        <f t="shared" si="10"/>
        <v/>
      </c>
      <c r="AB60" s="291" t="str">
        <f t="shared" si="11"/>
        <v/>
      </c>
      <c r="AC60" s="292" t="str">
        <f t="shared" si="12"/>
        <v/>
      </c>
      <c r="AD60" s="281"/>
      <c r="AE60" s="22"/>
    </row>
    <row r="61">
      <c r="A61" s="264"/>
      <c r="B61" s="267"/>
      <c r="C61" s="265"/>
      <c r="D61" s="265"/>
      <c r="E61" s="265"/>
      <c r="F61" s="266"/>
      <c r="G61" s="267" t="str">
        <f t="shared" si="1"/>
        <v/>
      </c>
      <c r="H61" s="264"/>
      <c r="I61" s="282"/>
      <c r="J61" s="282"/>
      <c r="K61" s="282"/>
      <c r="L61" s="282"/>
      <c r="M61" s="269"/>
      <c r="N61" s="283" t="str">
        <f t="array" ref="N61">if(C61=0,"",INDEX('Biaya Administrasi'!E:E, MATCH(I61, 'Biaya Administrasi'!B:B, 0)))</f>
        <v/>
      </c>
      <c r="O61" s="284" t="str">
        <f t="shared" si="2"/>
        <v/>
      </c>
      <c r="P61" s="285" t="str">
        <f t="array" ref="P61">if(J61=0,"",INDEX('Biaya Gratis Ongkir Xtra'!D:D, MATCH(J61, 'Biaya Gratis Ongkir Xtra'!C:C, 0)))</f>
        <v/>
      </c>
      <c r="Q61" s="286" t="str">
        <f t="shared" si="3"/>
        <v/>
      </c>
      <c r="R61" s="287" t="str">
        <f t="array" ref="R61">if(K61=0,"",INDEX('Biaya Gratis Ongkir Xtra'!$C$7:$C$10, MATCH(K61, 'Biaya Gratis Ongkir Xtra'!$B$7:$B$10, 0)))</f>
        <v/>
      </c>
      <c r="S61" s="288" t="str">
        <f t="shared" si="4"/>
        <v/>
      </c>
      <c r="T61" s="273" t="str">
        <f t="shared" si="13"/>
        <v/>
      </c>
      <c r="U61" s="287" t="str">
        <f t="array" ref="U61">if(C61=0,"",INDEX('Biaya Gratis Ongkir Xtra'!$C$3:$C$4, MATCH(L61, 'Biaya Gratis Ongkir Xtra'!$B$3:$B$4, 0)))</f>
        <v/>
      </c>
      <c r="V61" s="288" t="str">
        <f t="shared" si="6"/>
        <v/>
      </c>
      <c r="W61" s="264"/>
      <c r="X61" s="289" t="str">
        <f t="shared" si="7"/>
        <v/>
      </c>
      <c r="Y61" s="290" t="str">
        <f t="shared" si="8"/>
        <v/>
      </c>
      <c r="Z61" s="291" t="str">
        <f t="shared" si="9"/>
        <v/>
      </c>
      <c r="AA61" s="289" t="str">
        <f t="shared" si="10"/>
        <v/>
      </c>
      <c r="AB61" s="291" t="str">
        <f t="shared" si="11"/>
        <v/>
      </c>
      <c r="AC61" s="292" t="str">
        <f t="shared" si="12"/>
        <v/>
      </c>
      <c r="AD61" s="281"/>
      <c r="AE61" s="22"/>
    </row>
    <row r="62">
      <c r="A62" s="264"/>
      <c r="B62" s="267"/>
      <c r="C62" s="265"/>
      <c r="D62" s="265"/>
      <c r="E62" s="265"/>
      <c r="F62" s="266"/>
      <c r="G62" s="267" t="str">
        <f t="shared" si="1"/>
        <v/>
      </c>
      <c r="H62" s="264"/>
      <c r="I62" s="282"/>
      <c r="J62" s="282"/>
      <c r="K62" s="282"/>
      <c r="L62" s="282"/>
      <c r="M62" s="269"/>
      <c r="N62" s="283" t="str">
        <f t="array" ref="N62">if(C62=0,"",INDEX('Biaya Administrasi'!E:E, MATCH(I62, 'Biaya Administrasi'!B:B, 0)))</f>
        <v/>
      </c>
      <c r="O62" s="284" t="str">
        <f t="shared" si="2"/>
        <v/>
      </c>
      <c r="P62" s="285" t="str">
        <f t="array" ref="P62">if(J62=0,"",INDEX('Biaya Gratis Ongkir Xtra'!D:D, MATCH(J62, 'Biaya Gratis Ongkir Xtra'!C:C, 0)))</f>
        <v/>
      </c>
      <c r="Q62" s="286" t="str">
        <f t="shared" si="3"/>
        <v/>
      </c>
      <c r="R62" s="287" t="str">
        <f t="array" ref="R62">if(K62=0,"",INDEX('Biaya Gratis Ongkir Xtra'!$C$7:$C$10, MATCH(K62, 'Biaya Gratis Ongkir Xtra'!$B$7:$B$10, 0)))</f>
        <v/>
      </c>
      <c r="S62" s="288" t="str">
        <f t="shared" si="4"/>
        <v/>
      </c>
      <c r="T62" s="273" t="str">
        <f t="shared" si="13"/>
        <v/>
      </c>
      <c r="U62" s="287" t="str">
        <f t="array" ref="U62">if(C62=0,"",INDEX('Biaya Gratis Ongkir Xtra'!$C$3:$C$4, MATCH(L62, 'Biaya Gratis Ongkir Xtra'!$B$3:$B$4, 0)))</f>
        <v/>
      </c>
      <c r="V62" s="288" t="str">
        <f t="shared" si="6"/>
        <v/>
      </c>
      <c r="W62" s="264"/>
      <c r="X62" s="289" t="str">
        <f t="shared" si="7"/>
        <v/>
      </c>
      <c r="Y62" s="290" t="str">
        <f t="shared" si="8"/>
        <v/>
      </c>
      <c r="Z62" s="291" t="str">
        <f t="shared" si="9"/>
        <v/>
      </c>
      <c r="AA62" s="289" t="str">
        <f t="shared" si="10"/>
        <v/>
      </c>
      <c r="AB62" s="291" t="str">
        <f t="shared" si="11"/>
        <v/>
      </c>
      <c r="AC62" s="292" t="str">
        <f t="shared" si="12"/>
        <v/>
      </c>
      <c r="AD62" s="281"/>
      <c r="AE62" s="22"/>
    </row>
    <row r="63">
      <c r="A63" s="264"/>
      <c r="B63" s="267"/>
      <c r="C63" s="265"/>
      <c r="D63" s="265"/>
      <c r="E63" s="265"/>
      <c r="F63" s="266"/>
      <c r="G63" s="267" t="str">
        <f t="shared" si="1"/>
        <v/>
      </c>
      <c r="H63" s="264"/>
      <c r="I63" s="282"/>
      <c r="J63" s="282"/>
      <c r="K63" s="282"/>
      <c r="L63" s="282"/>
      <c r="M63" s="269"/>
      <c r="N63" s="283" t="str">
        <f t="array" ref="N63">if(C63=0,"",INDEX('Biaya Administrasi'!E:E, MATCH(I63, 'Biaya Administrasi'!B:B, 0)))</f>
        <v/>
      </c>
      <c r="O63" s="284" t="str">
        <f t="shared" si="2"/>
        <v/>
      </c>
      <c r="P63" s="285" t="str">
        <f t="array" ref="P63">if(J63=0,"",INDEX('Biaya Gratis Ongkir Xtra'!D:D, MATCH(J63, 'Biaya Gratis Ongkir Xtra'!C:C, 0)))</f>
        <v/>
      </c>
      <c r="Q63" s="286" t="str">
        <f t="shared" si="3"/>
        <v/>
      </c>
      <c r="R63" s="287" t="str">
        <f t="array" ref="R63">if(K63=0,"",INDEX('Biaya Gratis Ongkir Xtra'!$C$7:$C$10, MATCH(K63, 'Biaya Gratis Ongkir Xtra'!$B$7:$B$10, 0)))</f>
        <v/>
      </c>
      <c r="S63" s="288" t="str">
        <f t="shared" si="4"/>
        <v/>
      </c>
      <c r="T63" s="273" t="str">
        <f t="shared" si="13"/>
        <v/>
      </c>
      <c r="U63" s="287" t="str">
        <f t="array" ref="U63">if(C63=0,"",INDEX('Biaya Gratis Ongkir Xtra'!$C$3:$C$4, MATCH(L63, 'Biaya Gratis Ongkir Xtra'!$B$3:$B$4, 0)))</f>
        <v/>
      </c>
      <c r="V63" s="288" t="str">
        <f t="shared" si="6"/>
        <v/>
      </c>
      <c r="W63" s="264"/>
      <c r="X63" s="289" t="str">
        <f t="shared" si="7"/>
        <v/>
      </c>
      <c r="Y63" s="290" t="str">
        <f t="shared" si="8"/>
        <v/>
      </c>
      <c r="Z63" s="291" t="str">
        <f t="shared" si="9"/>
        <v/>
      </c>
      <c r="AA63" s="289" t="str">
        <f t="shared" si="10"/>
        <v/>
      </c>
      <c r="AB63" s="291" t="str">
        <f t="shared" si="11"/>
        <v/>
      </c>
      <c r="AC63" s="292" t="str">
        <f t="shared" si="12"/>
        <v/>
      </c>
      <c r="AD63" s="281"/>
      <c r="AE63" s="22"/>
    </row>
    <row r="64">
      <c r="A64" s="264"/>
      <c r="B64" s="267"/>
      <c r="C64" s="265"/>
      <c r="D64" s="265"/>
      <c r="E64" s="265"/>
      <c r="F64" s="266"/>
      <c r="G64" s="267" t="str">
        <f t="shared" si="1"/>
        <v/>
      </c>
      <c r="H64" s="264"/>
      <c r="I64" s="282"/>
      <c r="J64" s="282"/>
      <c r="K64" s="282"/>
      <c r="L64" s="282"/>
      <c r="M64" s="269"/>
      <c r="N64" s="283" t="str">
        <f t="array" ref="N64">if(C64=0,"",INDEX('Biaya Administrasi'!E:E, MATCH(I64, 'Biaya Administrasi'!B:B, 0)))</f>
        <v/>
      </c>
      <c r="O64" s="284" t="str">
        <f t="shared" si="2"/>
        <v/>
      </c>
      <c r="P64" s="285" t="str">
        <f t="array" ref="P64">if(J64=0,"",INDEX('Biaya Gratis Ongkir Xtra'!D:D, MATCH(J64, 'Biaya Gratis Ongkir Xtra'!C:C, 0)))</f>
        <v/>
      </c>
      <c r="Q64" s="286" t="str">
        <f t="shared" si="3"/>
        <v/>
      </c>
      <c r="R64" s="287" t="str">
        <f t="array" ref="R64">if(K64=0,"",INDEX('Biaya Gratis Ongkir Xtra'!$C$7:$C$10, MATCH(K64, 'Biaya Gratis Ongkir Xtra'!$B$7:$B$10, 0)))</f>
        <v/>
      </c>
      <c r="S64" s="288" t="str">
        <f t="shared" si="4"/>
        <v/>
      </c>
      <c r="T64" s="273" t="str">
        <f t="shared" si="13"/>
        <v/>
      </c>
      <c r="U64" s="287" t="str">
        <f t="array" ref="U64">if(C64=0,"",INDEX('Biaya Gratis Ongkir Xtra'!$C$3:$C$4, MATCH(L64, 'Biaya Gratis Ongkir Xtra'!$B$3:$B$4, 0)))</f>
        <v/>
      </c>
      <c r="V64" s="288" t="str">
        <f t="shared" si="6"/>
        <v/>
      </c>
      <c r="W64" s="264"/>
      <c r="X64" s="289" t="str">
        <f t="shared" si="7"/>
        <v/>
      </c>
      <c r="Y64" s="290" t="str">
        <f t="shared" si="8"/>
        <v/>
      </c>
      <c r="Z64" s="291" t="str">
        <f t="shared" si="9"/>
        <v/>
      </c>
      <c r="AA64" s="289" t="str">
        <f t="shared" si="10"/>
        <v/>
      </c>
      <c r="AB64" s="291" t="str">
        <f t="shared" si="11"/>
        <v/>
      </c>
      <c r="AC64" s="292" t="str">
        <f t="shared" si="12"/>
        <v/>
      </c>
      <c r="AD64" s="281"/>
      <c r="AE64" s="22"/>
    </row>
    <row r="65">
      <c r="A65" s="264"/>
      <c r="B65" s="267"/>
      <c r="C65" s="265"/>
      <c r="D65" s="265"/>
      <c r="E65" s="265"/>
      <c r="F65" s="266"/>
      <c r="G65" s="267" t="str">
        <f t="shared" si="1"/>
        <v/>
      </c>
      <c r="H65" s="264"/>
      <c r="I65" s="282"/>
      <c r="J65" s="282"/>
      <c r="K65" s="282"/>
      <c r="L65" s="282"/>
      <c r="M65" s="269"/>
      <c r="N65" s="283" t="str">
        <f t="array" ref="N65">if(C65=0,"",INDEX('Biaya Administrasi'!E:E, MATCH(I65, 'Biaya Administrasi'!B:B, 0)))</f>
        <v/>
      </c>
      <c r="O65" s="284" t="str">
        <f t="shared" si="2"/>
        <v/>
      </c>
      <c r="P65" s="285" t="str">
        <f t="array" ref="P65">if(J65=0,"",INDEX('Biaya Gratis Ongkir Xtra'!D:D, MATCH(J65, 'Biaya Gratis Ongkir Xtra'!C:C, 0)))</f>
        <v/>
      </c>
      <c r="Q65" s="286" t="str">
        <f t="shared" si="3"/>
        <v/>
      </c>
      <c r="R65" s="287" t="str">
        <f t="array" ref="R65">if(K65=0,"",INDEX('Biaya Gratis Ongkir Xtra'!$C$7:$C$10, MATCH(K65, 'Biaya Gratis Ongkir Xtra'!$B$7:$B$10, 0)))</f>
        <v/>
      </c>
      <c r="S65" s="288" t="str">
        <f t="shared" si="4"/>
        <v/>
      </c>
      <c r="T65" s="273" t="str">
        <f t="shared" si="13"/>
        <v/>
      </c>
      <c r="U65" s="287" t="str">
        <f t="array" ref="U65">if(C65=0,"",INDEX('Biaya Gratis Ongkir Xtra'!$C$3:$C$4, MATCH(L65, 'Biaya Gratis Ongkir Xtra'!$B$3:$B$4, 0)))</f>
        <v/>
      </c>
      <c r="V65" s="288" t="str">
        <f t="shared" si="6"/>
        <v/>
      </c>
      <c r="W65" s="264"/>
      <c r="X65" s="289" t="str">
        <f t="shared" si="7"/>
        <v/>
      </c>
      <c r="Y65" s="290" t="str">
        <f t="shared" si="8"/>
        <v/>
      </c>
      <c r="Z65" s="291" t="str">
        <f t="shared" si="9"/>
        <v/>
      </c>
      <c r="AA65" s="289" t="str">
        <f t="shared" si="10"/>
        <v/>
      </c>
      <c r="AB65" s="291" t="str">
        <f t="shared" si="11"/>
        <v/>
      </c>
      <c r="AC65" s="292" t="str">
        <f t="shared" si="12"/>
        <v/>
      </c>
      <c r="AD65" s="281"/>
      <c r="AE65" s="22"/>
    </row>
    <row r="66">
      <c r="A66" s="264"/>
      <c r="B66" s="267"/>
      <c r="C66" s="265"/>
      <c r="D66" s="265"/>
      <c r="E66" s="265"/>
      <c r="F66" s="266"/>
      <c r="G66" s="267" t="str">
        <f t="shared" si="1"/>
        <v/>
      </c>
      <c r="H66" s="264"/>
      <c r="I66" s="282"/>
      <c r="J66" s="282"/>
      <c r="K66" s="282"/>
      <c r="L66" s="282"/>
      <c r="M66" s="269"/>
      <c r="N66" s="283" t="str">
        <f t="array" ref="N66">if(C66=0,"",INDEX('Biaya Administrasi'!E:E, MATCH(I66, 'Biaya Administrasi'!B:B, 0)))</f>
        <v/>
      </c>
      <c r="O66" s="284" t="str">
        <f t="shared" si="2"/>
        <v/>
      </c>
      <c r="P66" s="285" t="str">
        <f t="array" ref="P66">if(J66=0,"",INDEX('Biaya Gratis Ongkir Xtra'!D:D, MATCH(J66, 'Biaya Gratis Ongkir Xtra'!C:C, 0)))</f>
        <v/>
      </c>
      <c r="Q66" s="286" t="str">
        <f t="shared" si="3"/>
        <v/>
      </c>
      <c r="R66" s="287" t="str">
        <f t="array" ref="R66">if(K66=0,"",INDEX('Biaya Gratis Ongkir Xtra'!$C$7:$C$10, MATCH(K66, 'Biaya Gratis Ongkir Xtra'!$B$7:$B$10, 0)))</f>
        <v/>
      </c>
      <c r="S66" s="288" t="str">
        <f t="shared" si="4"/>
        <v/>
      </c>
      <c r="T66" s="273" t="str">
        <f t="shared" si="13"/>
        <v/>
      </c>
      <c r="U66" s="287" t="str">
        <f t="array" ref="U66">if(C66=0,"",INDEX('Biaya Gratis Ongkir Xtra'!$C$3:$C$4, MATCH(L66, 'Biaya Gratis Ongkir Xtra'!$B$3:$B$4, 0)))</f>
        <v/>
      </c>
      <c r="V66" s="288" t="str">
        <f t="shared" si="6"/>
        <v/>
      </c>
      <c r="W66" s="264"/>
      <c r="X66" s="289" t="str">
        <f t="shared" si="7"/>
        <v/>
      </c>
      <c r="Y66" s="290" t="str">
        <f t="shared" si="8"/>
        <v/>
      </c>
      <c r="Z66" s="291" t="str">
        <f t="shared" si="9"/>
        <v/>
      </c>
      <c r="AA66" s="289" t="str">
        <f t="shared" si="10"/>
        <v/>
      </c>
      <c r="AB66" s="291" t="str">
        <f t="shared" si="11"/>
        <v/>
      </c>
      <c r="AC66" s="292" t="str">
        <f t="shared" si="12"/>
        <v/>
      </c>
      <c r="AD66" s="281"/>
      <c r="AE66" s="22"/>
    </row>
    <row r="67">
      <c r="A67" s="264"/>
      <c r="B67" s="267"/>
      <c r="C67" s="265"/>
      <c r="D67" s="265"/>
      <c r="E67" s="265"/>
      <c r="F67" s="266"/>
      <c r="G67" s="267" t="str">
        <f t="shared" si="1"/>
        <v/>
      </c>
      <c r="H67" s="264"/>
      <c r="I67" s="282"/>
      <c r="J67" s="282"/>
      <c r="K67" s="282"/>
      <c r="L67" s="282"/>
      <c r="M67" s="269"/>
      <c r="N67" s="283" t="str">
        <f t="array" ref="N67">if(C67=0,"",INDEX('Biaya Administrasi'!E:E, MATCH(I67, 'Biaya Administrasi'!B:B, 0)))</f>
        <v/>
      </c>
      <c r="O67" s="284" t="str">
        <f t="shared" si="2"/>
        <v/>
      </c>
      <c r="P67" s="285" t="str">
        <f t="array" ref="P67">if(J67=0,"",INDEX('Biaya Gratis Ongkir Xtra'!D:D, MATCH(J67, 'Biaya Gratis Ongkir Xtra'!C:C, 0)))</f>
        <v/>
      </c>
      <c r="Q67" s="286" t="str">
        <f t="shared" si="3"/>
        <v/>
      </c>
      <c r="R67" s="287" t="str">
        <f t="array" ref="R67">if(K67=0,"",INDEX('Biaya Gratis Ongkir Xtra'!$C$7:$C$10, MATCH(K67, 'Biaya Gratis Ongkir Xtra'!$B$7:$B$10, 0)))</f>
        <v/>
      </c>
      <c r="S67" s="288" t="str">
        <f t="shared" si="4"/>
        <v/>
      </c>
      <c r="T67" s="273" t="str">
        <f t="shared" si="13"/>
        <v/>
      </c>
      <c r="U67" s="287" t="str">
        <f t="array" ref="U67">if(C67=0,"",INDEX('Biaya Gratis Ongkir Xtra'!$C$3:$C$4, MATCH(L67, 'Biaya Gratis Ongkir Xtra'!$B$3:$B$4, 0)))</f>
        <v/>
      </c>
      <c r="V67" s="288" t="str">
        <f t="shared" si="6"/>
        <v/>
      </c>
      <c r="W67" s="264"/>
      <c r="X67" s="289" t="str">
        <f t="shared" si="7"/>
        <v/>
      </c>
      <c r="Y67" s="290" t="str">
        <f t="shared" si="8"/>
        <v/>
      </c>
      <c r="Z67" s="291" t="str">
        <f t="shared" si="9"/>
        <v/>
      </c>
      <c r="AA67" s="289" t="str">
        <f t="shared" si="10"/>
        <v/>
      </c>
      <c r="AB67" s="291" t="str">
        <f t="shared" si="11"/>
        <v/>
      </c>
      <c r="AC67" s="292" t="str">
        <f t="shared" si="12"/>
        <v/>
      </c>
      <c r="AD67" s="281"/>
      <c r="AE67" s="22"/>
    </row>
    <row r="68">
      <c r="A68" s="264"/>
      <c r="B68" s="267"/>
      <c r="C68" s="265"/>
      <c r="D68" s="265"/>
      <c r="E68" s="265"/>
      <c r="F68" s="266"/>
      <c r="G68" s="267" t="str">
        <f t="shared" si="1"/>
        <v/>
      </c>
      <c r="H68" s="264"/>
      <c r="I68" s="282"/>
      <c r="J68" s="282"/>
      <c r="K68" s="282"/>
      <c r="L68" s="282"/>
      <c r="M68" s="269"/>
      <c r="N68" s="283" t="str">
        <f t="array" ref="N68">if(C68=0,"",INDEX('Biaya Administrasi'!E:E, MATCH(I68, 'Biaya Administrasi'!B:B, 0)))</f>
        <v/>
      </c>
      <c r="O68" s="284" t="str">
        <f t="shared" si="2"/>
        <v/>
      </c>
      <c r="P68" s="285" t="str">
        <f t="array" ref="P68">if(J68=0,"",INDEX('Biaya Gratis Ongkir Xtra'!D:D, MATCH(J68, 'Biaya Gratis Ongkir Xtra'!C:C, 0)))</f>
        <v/>
      </c>
      <c r="Q68" s="286" t="str">
        <f t="shared" si="3"/>
        <v/>
      </c>
      <c r="R68" s="287" t="str">
        <f t="array" ref="R68">if(K68=0,"",INDEX('Biaya Gratis Ongkir Xtra'!$C$7:$C$10, MATCH(K68, 'Biaya Gratis Ongkir Xtra'!$B$7:$B$10, 0)))</f>
        <v/>
      </c>
      <c r="S68" s="288" t="str">
        <f t="shared" si="4"/>
        <v/>
      </c>
      <c r="T68" s="273" t="str">
        <f t="shared" si="13"/>
        <v/>
      </c>
      <c r="U68" s="287" t="str">
        <f t="array" ref="U68">if(C68=0,"",INDEX('Biaya Gratis Ongkir Xtra'!$C$3:$C$4, MATCH(L68, 'Biaya Gratis Ongkir Xtra'!$B$3:$B$4, 0)))</f>
        <v/>
      </c>
      <c r="V68" s="288" t="str">
        <f t="shared" si="6"/>
        <v/>
      </c>
      <c r="W68" s="264"/>
      <c r="X68" s="289" t="str">
        <f t="shared" si="7"/>
        <v/>
      </c>
      <c r="Y68" s="290" t="str">
        <f t="shared" si="8"/>
        <v/>
      </c>
      <c r="Z68" s="291" t="str">
        <f t="shared" si="9"/>
        <v/>
      </c>
      <c r="AA68" s="289" t="str">
        <f t="shared" si="10"/>
        <v/>
      </c>
      <c r="AB68" s="291" t="str">
        <f t="shared" si="11"/>
        <v/>
      </c>
      <c r="AC68" s="292" t="str">
        <f t="shared" si="12"/>
        <v/>
      </c>
      <c r="AD68" s="281"/>
      <c r="AE68" s="22"/>
    </row>
    <row r="69">
      <c r="A69" s="264"/>
      <c r="B69" s="267"/>
      <c r="C69" s="265"/>
      <c r="D69" s="265"/>
      <c r="E69" s="265"/>
      <c r="F69" s="266"/>
      <c r="G69" s="267" t="str">
        <f t="shared" si="1"/>
        <v/>
      </c>
      <c r="H69" s="264"/>
      <c r="I69" s="282"/>
      <c r="J69" s="282"/>
      <c r="K69" s="282"/>
      <c r="L69" s="282"/>
      <c r="M69" s="269"/>
      <c r="N69" s="283" t="str">
        <f t="array" ref="N69">if(C69=0,"",INDEX('Biaya Administrasi'!E:E, MATCH(I69, 'Biaya Administrasi'!B:B, 0)))</f>
        <v/>
      </c>
      <c r="O69" s="284" t="str">
        <f t="shared" si="2"/>
        <v/>
      </c>
      <c r="P69" s="285" t="str">
        <f t="array" ref="P69">if(J69=0,"",INDEX('Biaya Gratis Ongkir Xtra'!D:D, MATCH(J69, 'Biaya Gratis Ongkir Xtra'!C:C, 0)))</f>
        <v/>
      </c>
      <c r="Q69" s="286" t="str">
        <f t="shared" si="3"/>
        <v/>
      </c>
      <c r="R69" s="287" t="str">
        <f t="array" ref="R69">if(K69=0,"",INDEX('Biaya Gratis Ongkir Xtra'!$C$7:$C$10, MATCH(K69, 'Biaya Gratis Ongkir Xtra'!$B$7:$B$10, 0)))</f>
        <v/>
      </c>
      <c r="S69" s="288" t="str">
        <f t="shared" si="4"/>
        <v/>
      </c>
      <c r="T69" s="273" t="str">
        <f t="shared" si="13"/>
        <v/>
      </c>
      <c r="U69" s="287" t="str">
        <f t="array" ref="U69">if(C69=0,"",INDEX('Biaya Gratis Ongkir Xtra'!$C$3:$C$4, MATCH(L69, 'Biaya Gratis Ongkir Xtra'!$B$3:$B$4, 0)))</f>
        <v/>
      </c>
      <c r="V69" s="288" t="str">
        <f t="shared" si="6"/>
        <v/>
      </c>
      <c r="W69" s="264"/>
      <c r="X69" s="289" t="str">
        <f t="shared" si="7"/>
        <v/>
      </c>
      <c r="Y69" s="290" t="str">
        <f t="shared" si="8"/>
        <v/>
      </c>
      <c r="Z69" s="291" t="str">
        <f t="shared" si="9"/>
        <v/>
      </c>
      <c r="AA69" s="289" t="str">
        <f t="shared" si="10"/>
        <v/>
      </c>
      <c r="AB69" s="291" t="str">
        <f t="shared" si="11"/>
        <v/>
      </c>
      <c r="AC69" s="292" t="str">
        <f t="shared" si="12"/>
        <v/>
      </c>
      <c r="AD69" s="281"/>
      <c r="AE69" s="22"/>
    </row>
    <row r="70">
      <c r="A70" s="264"/>
      <c r="B70" s="267"/>
      <c r="C70" s="265"/>
      <c r="D70" s="265"/>
      <c r="E70" s="265"/>
      <c r="F70" s="266"/>
      <c r="G70" s="267" t="str">
        <f t="shared" si="1"/>
        <v/>
      </c>
      <c r="H70" s="264"/>
      <c r="I70" s="282"/>
      <c r="J70" s="282"/>
      <c r="K70" s="282"/>
      <c r="L70" s="282"/>
      <c r="M70" s="269"/>
      <c r="N70" s="283" t="str">
        <f t="array" ref="N70">if(C70=0,"",INDEX('Biaya Administrasi'!E:E, MATCH(I70, 'Biaya Administrasi'!B:B, 0)))</f>
        <v/>
      </c>
      <c r="O70" s="284" t="str">
        <f t="shared" si="2"/>
        <v/>
      </c>
      <c r="P70" s="285" t="str">
        <f t="array" ref="P70">if(J70=0,"",INDEX('Biaya Gratis Ongkir Xtra'!D:D, MATCH(J70, 'Biaya Gratis Ongkir Xtra'!C:C, 0)))</f>
        <v/>
      </c>
      <c r="Q70" s="286" t="str">
        <f t="shared" si="3"/>
        <v/>
      </c>
      <c r="R70" s="287" t="str">
        <f t="array" ref="R70">if(K70=0,"",INDEX('Biaya Gratis Ongkir Xtra'!$C$7:$C$10, MATCH(K70, 'Biaya Gratis Ongkir Xtra'!$B$7:$B$10, 0)))</f>
        <v/>
      </c>
      <c r="S70" s="288" t="str">
        <f t="shared" si="4"/>
        <v/>
      </c>
      <c r="T70" s="273" t="str">
        <f t="shared" si="13"/>
        <v/>
      </c>
      <c r="U70" s="287" t="str">
        <f t="array" ref="U70">if(C70=0,"",INDEX('Biaya Gratis Ongkir Xtra'!$C$3:$C$4, MATCH(L70, 'Biaya Gratis Ongkir Xtra'!$B$3:$B$4, 0)))</f>
        <v/>
      </c>
      <c r="V70" s="288" t="str">
        <f t="shared" si="6"/>
        <v/>
      </c>
      <c r="W70" s="264"/>
      <c r="X70" s="289" t="str">
        <f t="shared" si="7"/>
        <v/>
      </c>
      <c r="Y70" s="290" t="str">
        <f t="shared" si="8"/>
        <v/>
      </c>
      <c r="Z70" s="291" t="str">
        <f t="shared" si="9"/>
        <v/>
      </c>
      <c r="AA70" s="289" t="str">
        <f t="shared" si="10"/>
        <v/>
      </c>
      <c r="AB70" s="291" t="str">
        <f t="shared" si="11"/>
        <v/>
      </c>
      <c r="AC70" s="292" t="str">
        <f t="shared" si="12"/>
        <v/>
      </c>
      <c r="AD70" s="281"/>
      <c r="AE70" s="22"/>
    </row>
    <row r="71">
      <c r="A71" s="264"/>
      <c r="B71" s="267"/>
      <c r="C71" s="265"/>
      <c r="D71" s="265"/>
      <c r="E71" s="265"/>
      <c r="F71" s="266"/>
      <c r="G71" s="267" t="str">
        <f t="shared" si="1"/>
        <v/>
      </c>
      <c r="H71" s="264"/>
      <c r="I71" s="282"/>
      <c r="J71" s="282"/>
      <c r="K71" s="282"/>
      <c r="L71" s="282"/>
      <c r="M71" s="269"/>
      <c r="N71" s="283" t="str">
        <f t="array" ref="N71">if(C71=0,"",INDEX('Biaya Administrasi'!E:E, MATCH(I71, 'Biaya Administrasi'!B:B, 0)))</f>
        <v/>
      </c>
      <c r="O71" s="284" t="str">
        <f t="shared" si="2"/>
        <v/>
      </c>
      <c r="P71" s="285" t="str">
        <f t="array" ref="P71">if(J71=0,"",INDEX('Biaya Gratis Ongkir Xtra'!D:D, MATCH(J71, 'Biaya Gratis Ongkir Xtra'!C:C, 0)))</f>
        <v/>
      </c>
      <c r="Q71" s="286" t="str">
        <f t="shared" si="3"/>
        <v/>
      </c>
      <c r="R71" s="287" t="str">
        <f t="array" ref="R71">if(K71=0,"",INDEX('Biaya Gratis Ongkir Xtra'!$C$7:$C$10, MATCH(K71, 'Biaya Gratis Ongkir Xtra'!$B$7:$B$10, 0)))</f>
        <v/>
      </c>
      <c r="S71" s="288" t="str">
        <f t="shared" si="4"/>
        <v/>
      </c>
      <c r="T71" s="273" t="str">
        <f t="shared" si="13"/>
        <v/>
      </c>
      <c r="U71" s="287" t="str">
        <f t="array" ref="U71">if(C71=0,"",INDEX('Biaya Gratis Ongkir Xtra'!$C$3:$C$4, MATCH(L71, 'Biaya Gratis Ongkir Xtra'!$B$3:$B$4, 0)))</f>
        <v/>
      </c>
      <c r="V71" s="288" t="str">
        <f t="shared" si="6"/>
        <v/>
      </c>
      <c r="W71" s="264"/>
      <c r="X71" s="289" t="str">
        <f t="shared" si="7"/>
        <v/>
      </c>
      <c r="Y71" s="290" t="str">
        <f t="shared" si="8"/>
        <v/>
      </c>
      <c r="Z71" s="291" t="str">
        <f t="shared" si="9"/>
        <v/>
      </c>
      <c r="AA71" s="289" t="str">
        <f t="shared" si="10"/>
        <v/>
      </c>
      <c r="AB71" s="291" t="str">
        <f t="shared" si="11"/>
        <v/>
      </c>
      <c r="AC71" s="292" t="str">
        <f t="shared" si="12"/>
        <v/>
      </c>
      <c r="AD71" s="281"/>
      <c r="AE71" s="22"/>
    </row>
    <row r="72">
      <c r="A72" s="264"/>
      <c r="B72" s="267"/>
      <c r="C72" s="265"/>
      <c r="D72" s="265"/>
      <c r="E72" s="265"/>
      <c r="F72" s="266"/>
      <c r="G72" s="267" t="str">
        <f t="shared" si="1"/>
        <v/>
      </c>
      <c r="H72" s="264"/>
      <c r="I72" s="282"/>
      <c r="J72" s="282"/>
      <c r="K72" s="282"/>
      <c r="L72" s="282"/>
      <c r="M72" s="269"/>
      <c r="N72" s="283" t="str">
        <f t="array" ref="N72">if(C72=0,"",INDEX('Biaya Administrasi'!E:E, MATCH(I72, 'Biaya Administrasi'!B:B, 0)))</f>
        <v/>
      </c>
      <c r="O72" s="284" t="str">
        <f t="shared" si="2"/>
        <v/>
      </c>
      <c r="P72" s="285" t="str">
        <f t="array" ref="P72">if(J72=0,"",INDEX('Biaya Gratis Ongkir Xtra'!D:D, MATCH(J72, 'Biaya Gratis Ongkir Xtra'!C:C, 0)))</f>
        <v/>
      </c>
      <c r="Q72" s="286" t="str">
        <f t="shared" si="3"/>
        <v/>
      </c>
      <c r="R72" s="287" t="str">
        <f t="array" ref="R72">if(K72=0,"",INDEX('Biaya Gratis Ongkir Xtra'!$C$7:$C$10, MATCH(K72, 'Biaya Gratis Ongkir Xtra'!$B$7:$B$10, 0)))</f>
        <v/>
      </c>
      <c r="S72" s="288" t="str">
        <f t="shared" si="4"/>
        <v/>
      </c>
      <c r="T72" s="273" t="str">
        <f t="shared" si="13"/>
        <v/>
      </c>
      <c r="U72" s="287" t="str">
        <f t="array" ref="U72">if(C72=0,"",INDEX('Biaya Gratis Ongkir Xtra'!$C$3:$C$4, MATCH(L72, 'Biaya Gratis Ongkir Xtra'!$B$3:$B$4, 0)))</f>
        <v/>
      </c>
      <c r="V72" s="288" t="str">
        <f t="shared" si="6"/>
        <v/>
      </c>
      <c r="W72" s="264"/>
      <c r="X72" s="289" t="str">
        <f t="shared" si="7"/>
        <v/>
      </c>
      <c r="Y72" s="290" t="str">
        <f t="shared" si="8"/>
        <v/>
      </c>
      <c r="Z72" s="291" t="str">
        <f t="shared" si="9"/>
        <v/>
      </c>
      <c r="AA72" s="289" t="str">
        <f t="shared" si="10"/>
        <v/>
      </c>
      <c r="AB72" s="291" t="str">
        <f t="shared" si="11"/>
        <v/>
      </c>
      <c r="AC72" s="292" t="str">
        <f t="shared" si="12"/>
        <v/>
      </c>
      <c r="AD72" s="281"/>
      <c r="AE72" s="22"/>
    </row>
    <row r="73">
      <c r="A73" s="264"/>
      <c r="B73" s="267"/>
      <c r="C73" s="265"/>
      <c r="D73" s="265"/>
      <c r="E73" s="265"/>
      <c r="F73" s="266"/>
      <c r="G73" s="267" t="str">
        <f t="shared" si="1"/>
        <v/>
      </c>
      <c r="H73" s="264"/>
      <c r="I73" s="282"/>
      <c r="J73" s="282"/>
      <c r="K73" s="282"/>
      <c r="L73" s="282"/>
      <c r="M73" s="269"/>
      <c r="N73" s="283" t="str">
        <f t="array" ref="N73">if(C73=0,"",INDEX('Biaya Administrasi'!E:E, MATCH(I73, 'Biaya Administrasi'!B:B, 0)))</f>
        <v/>
      </c>
      <c r="O73" s="284" t="str">
        <f t="shared" si="2"/>
        <v/>
      </c>
      <c r="P73" s="285" t="str">
        <f t="array" ref="P73">if(J73=0,"",INDEX('Biaya Gratis Ongkir Xtra'!D:D, MATCH(J73, 'Biaya Gratis Ongkir Xtra'!C:C, 0)))</f>
        <v/>
      </c>
      <c r="Q73" s="286" t="str">
        <f t="shared" si="3"/>
        <v/>
      </c>
      <c r="R73" s="287" t="str">
        <f t="array" ref="R73">if(K73=0,"",INDEX('Biaya Gratis Ongkir Xtra'!$C$7:$C$10, MATCH(K73, 'Biaya Gratis Ongkir Xtra'!$B$7:$B$10, 0)))</f>
        <v/>
      </c>
      <c r="S73" s="288" t="str">
        <f t="shared" si="4"/>
        <v/>
      </c>
      <c r="T73" s="273" t="str">
        <f t="shared" si="13"/>
        <v/>
      </c>
      <c r="U73" s="287" t="str">
        <f t="array" ref="U73">if(C73=0,"",INDEX('Biaya Gratis Ongkir Xtra'!$C$3:$C$4, MATCH(L73, 'Biaya Gratis Ongkir Xtra'!$B$3:$B$4, 0)))</f>
        <v/>
      </c>
      <c r="V73" s="288" t="str">
        <f t="shared" si="6"/>
        <v/>
      </c>
      <c r="W73" s="264"/>
      <c r="X73" s="289" t="str">
        <f t="shared" si="7"/>
        <v/>
      </c>
      <c r="Y73" s="290" t="str">
        <f t="shared" si="8"/>
        <v/>
      </c>
      <c r="Z73" s="291" t="str">
        <f t="shared" si="9"/>
        <v/>
      </c>
      <c r="AA73" s="289" t="str">
        <f t="shared" si="10"/>
        <v/>
      </c>
      <c r="AB73" s="291" t="str">
        <f t="shared" si="11"/>
        <v/>
      </c>
      <c r="AC73" s="292" t="str">
        <f t="shared" si="12"/>
        <v/>
      </c>
      <c r="AD73" s="281"/>
      <c r="AE73" s="22"/>
    </row>
    <row r="74">
      <c r="A74" s="264"/>
      <c r="B74" s="267"/>
      <c r="C74" s="265"/>
      <c r="D74" s="265"/>
      <c r="E74" s="265"/>
      <c r="F74" s="266"/>
      <c r="G74" s="267" t="str">
        <f t="shared" si="1"/>
        <v/>
      </c>
      <c r="H74" s="264"/>
      <c r="I74" s="282"/>
      <c r="J74" s="282"/>
      <c r="K74" s="282"/>
      <c r="L74" s="282"/>
      <c r="M74" s="269"/>
      <c r="N74" s="283" t="str">
        <f t="array" ref="N74">if(C74=0,"",INDEX('Biaya Administrasi'!E:E, MATCH(I74, 'Biaya Administrasi'!B:B, 0)))</f>
        <v/>
      </c>
      <c r="O74" s="284" t="str">
        <f t="shared" si="2"/>
        <v/>
      </c>
      <c r="P74" s="285" t="str">
        <f t="array" ref="P74">if(J74=0,"",INDEX('Biaya Gratis Ongkir Xtra'!D:D, MATCH(J74, 'Biaya Gratis Ongkir Xtra'!C:C, 0)))</f>
        <v/>
      </c>
      <c r="Q74" s="286" t="str">
        <f t="shared" si="3"/>
        <v/>
      </c>
      <c r="R74" s="287" t="str">
        <f t="array" ref="R74">if(K74=0,"",INDEX('Biaya Gratis Ongkir Xtra'!$C$7:$C$10, MATCH(K74, 'Biaya Gratis Ongkir Xtra'!$B$7:$B$10, 0)))</f>
        <v/>
      </c>
      <c r="S74" s="288" t="str">
        <f t="shared" si="4"/>
        <v/>
      </c>
      <c r="T74" s="273" t="str">
        <f t="shared" si="13"/>
        <v/>
      </c>
      <c r="U74" s="287" t="str">
        <f t="array" ref="U74">if(C74=0,"",INDEX('Biaya Gratis Ongkir Xtra'!$C$3:$C$4, MATCH(L74, 'Biaya Gratis Ongkir Xtra'!$B$3:$B$4, 0)))</f>
        <v/>
      </c>
      <c r="V74" s="288" t="str">
        <f t="shared" si="6"/>
        <v/>
      </c>
      <c r="W74" s="264"/>
      <c r="X74" s="289" t="str">
        <f t="shared" si="7"/>
        <v/>
      </c>
      <c r="Y74" s="290" t="str">
        <f t="shared" si="8"/>
        <v/>
      </c>
      <c r="Z74" s="291" t="str">
        <f t="shared" si="9"/>
        <v/>
      </c>
      <c r="AA74" s="289" t="str">
        <f t="shared" si="10"/>
        <v/>
      </c>
      <c r="AB74" s="291" t="str">
        <f t="shared" si="11"/>
        <v/>
      </c>
      <c r="AC74" s="292" t="str">
        <f t="shared" si="12"/>
        <v/>
      </c>
      <c r="AD74" s="281"/>
      <c r="AE74" s="22"/>
    </row>
    <row r="75">
      <c r="A75" s="264"/>
      <c r="B75" s="267"/>
      <c r="C75" s="265"/>
      <c r="D75" s="265"/>
      <c r="E75" s="265"/>
      <c r="F75" s="266"/>
      <c r="G75" s="267" t="str">
        <f t="shared" si="1"/>
        <v/>
      </c>
      <c r="H75" s="264"/>
      <c r="I75" s="282"/>
      <c r="J75" s="282"/>
      <c r="K75" s="282"/>
      <c r="L75" s="282"/>
      <c r="M75" s="269"/>
      <c r="N75" s="283" t="str">
        <f t="array" ref="N75">if(C75=0,"",INDEX('Biaya Administrasi'!E:E, MATCH(I75, 'Biaya Administrasi'!B:B, 0)))</f>
        <v/>
      </c>
      <c r="O75" s="284" t="str">
        <f t="shared" si="2"/>
        <v/>
      </c>
      <c r="P75" s="285" t="str">
        <f t="array" ref="P75">if(J75=0,"",INDEX('Biaya Gratis Ongkir Xtra'!D:D, MATCH(J75, 'Biaya Gratis Ongkir Xtra'!C:C, 0)))</f>
        <v/>
      </c>
      <c r="Q75" s="286" t="str">
        <f t="shared" si="3"/>
        <v/>
      </c>
      <c r="R75" s="287" t="str">
        <f t="array" ref="R75">if(K75=0,"",INDEX('Biaya Gratis Ongkir Xtra'!$C$7:$C$10, MATCH(K75, 'Biaya Gratis Ongkir Xtra'!$B$7:$B$10, 0)))</f>
        <v/>
      </c>
      <c r="S75" s="288" t="str">
        <f t="shared" si="4"/>
        <v/>
      </c>
      <c r="T75" s="273" t="str">
        <f t="shared" si="13"/>
        <v/>
      </c>
      <c r="U75" s="287" t="str">
        <f t="array" ref="U75">if(C75=0,"",INDEX('Biaya Gratis Ongkir Xtra'!$C$3:$C$4, MATCH(L75, 'Biaya Gratis Ongkir Xtra'!$B$3:$B$4, 0)))</f>
        <v/>
      </c>
      <c r="V75" s="288" t="str">
        <f t="shared" si="6"/>
        <v/>
      </c>
      <c r="W75" s="264"/>
      <c r="X75" s="289" t="str">
        <f t="shared" si="7"/>
        <v/>
      </c>
      <c r="Y75" s="290" t="str">
        <f t="shared" si="8"/>
        <v/>
      </c>
      <c r="Z75" s="291" t="str">
        <f t="shared" si="9"/>
        <v/>
      </c>
      <c r="AA75" s="289" t="str">
        <f t="shared" si="10"/>
        <v/>
      </c>
      <c r="AB75" s="291" t="str">
        <f t="shared" si="11"/>
        <v/>
      </c>
      <c r="AC75" s="292" t="str">
        <f t="shared" si="12"/>
        <v/>
      </c>
      <c r="AD75" s="281"/>
      <c r="AE75" s="22"/>
    </row>
    <row r="76">
      <c r="A76" s="264"/>
      <c r="B76" s="267"/>
      <c r="C76" s="265"/>
      <c r="D76" s="265"/>
      <c r="E76" s="265"/>
      <c r="F76" s="266"/>
      <c r="G76" s="267" t="str">
        <f t="shared" si="1"/>
        <v/>
      </c>
      <c r="H76" s="264"/>
      <c r="I76" s="282"/>
      <c r="J76" s="282"/>
      <c r="K76" s="282"/>
      <c r="L76" s="282"/>
      <c r="M76" s="269"/>
      <c r="N76" s="283" t="str">
        <f t="array" ref="N76">if(C76=0,"",INDEX('Biaya Administrasi'!E:E, MATCH(I76, 'Biaya Administrasi'!B:B, 0)))</f>
        <v/>
      </c>
      <c r="O76" s="284" t="str">
        <f t="shared" si="2"/>
        <v/>
      </c>
      <c r="P76" s="285" t="str">
        <f t="array" ref="P76">if(J76=0,"",INDEX('Biaya Gratis Ongkir Xtra'!D:D, MATCH(J76, 'Biaya Gratis Ongkir Xtra'!C:C, 0)))</f>
        <v/>
      </c>
      <c r="Q76" s="286" t="str">
        <f t="shared" si="3"/>
        <v/>
      </c>
      <c r="R76" s="287" t="str">
        <f t="array" ref="R76">if(K76=0,"",INDEX('Biaya Gratis Ongkir Xtra'!$C$7:$C$10, MATCH(K76, 'Biaya Gratis Ongkir Xtra'!$B$7:$B$10, 0)))</f>
        <v/>
      </c>
      <c r="S76" s="288" t="str">
        <f t="shared" si="4"/>
        <v/>
      </c>
      <c r="T76" s="273" t="str">
        <f t="shared" si="13"/>
        <v/>
      </c>
      <c r="U76" s="287" t="str">
        <f t="array" ref="U76">if(C76=0,"",INDEX('Biaya Gratis Ongkir Xtra'!$C$3:$C$4, MATCH(L76, 'Biaya Gratis Ongkir Xtra'!$B$3:$B$4, 0)))</f>
        <v/>
      </c>
      <c r="V76" s="288" t="str">
        <f t="shared" si="6"/>
        <v/>
      </c>
      <c r="W76" s="264"/>
      <c r="X76" s="289" t="str">
        <f t="shared" si="7"/>
        <v/>
      </c>
      <c r="Y76" s="290" t="str">
        <f t="shared" si="8"/>
        <v/>
      </c>
      <c r="Z76" s="291" t="str">
        <f t="shared" si="9"/>
        <v/>
      </c>
      <c r="AA76" s="289" t="str">
        <f t="shared" si="10"/>
        <v/>
      </c>
      <c r="AB76" s="291" t="str">
        <f t="shared" si="11"/>
        <v/>
      </c>
      <c r="AC76" s="292" t="str">
        <f t="shared" si="12"/>
        <v/>
      </c>
      <c r="AD76" s="281"/>
      <c r="AE76" s="22"/>
    </row>
    <row r="77">
      <c r="A77" s="264"/>
      <c r="B77" s="267"/>
      <c r="C77" s="265"/>
      <c r="D77" s="265"/>
      <c r="E77" s="265"/>
      <c r="F77" s="266"/>
      <c r="G77" s="267" t="str">
        <f t="shared" si="1"/>
        <v/>
      </c>
      <c r="H77" s="264"/>
      <c r="I77" s="282"/>
      <c r="J77" s="282"/>
      <c r="K77" s="282"/>
      <c r="L77" s="282"/>
      <c r="M77" s="269"/>
      <c r="N77" s="283" t="str">
        <f t="array" ref="N77">if(C77=0,"",INDEX('Biaya Administrasi'!E:E, MATCH(I77, 'Biaya Administrasi'!B:B, 0)))</f>
        <v/>
      </c>
      <c r="O77" s="284" t="str">
        <f t="shared" si="2"/>
        <v/>
      </c>
      <c r="P77" s="285" t="str">
        <f t="array" ref="P77">if(J77=0,"",INDEX('Biaya Gratis Ongkir Xtra'!D:D, MATCH(J77, 'Biaya Gratis Ongkir Xtra'!C:C, 0)))</f>
        <v/>
      </c>
      <c r="Q77" s="286" t="str">
        <f t="shared" si="3"/>
        <v/>
      </c>
      <c r="R77" s="287" t="str">
        <f t="array" ref="R77">if(K77=0,"",INDEX('Biaya Gratis Ongkir Xtra'!$C$7:$C$10, MATCH(K77, 'Biaya Gratis Ongkir Xtra'!$B$7:$B$10, 0)))</f>
        <v/>
      </c>
      <c r="S77" s="288" t="str">
        <f t="shared" si="4"/>
        <v/>
      </c>
      <c r="T77" s="273" t="str">
        <f t="shared" si="13"/>
        <v/>
      </c>
      <c r="U77" s="287" t="str">
        <f t="array" ref="U77">if(C77=0,"",INDEX('Biaya Gratis Ongkir Xtra'!$C$3:$C$4, MATCH(L77, 'Biaya Gratis Ongkir Xtra'!$B$3:$B$4, 0)))</f>
        <v/>
      </c>
      <c r="V77" s="288" t="str">
        <f t="shared" si="6"/>
        <v/>
      </c>
      <c r="W77" s="264"/>
      <c r="X77" s="289" t="str">
        <f t="shared" si="7"/>
        <v/>
      </c>
      <c r="Y77" s="290" t="str">
        <f t="shared" si="8"/>
        <v/>
      </c>
      <c r="Z77" s="291" t="str">
        <f t="shared" si="9"/>
        <v/>
      </c>
      <c r="AA77" s="289" t="str">
        <f t="shared" si="10"/>
        <v/>
      </c>
      <c r="AB77" s="291" t="str">
        <f t="shared" si="11"/>
        <v/>
      </c>
      <c r="AC77" s="292" t="str">
        <f t="shared" si="12"/>
        <v/>
      </c>
      <c r="AD77" s="281"/>
      <c r="AE77" s="22"/>
    </row>
    <row r="78">
      <c r="A78" s="264"/>
      <c r="B78" s="267"/>
      <c r="C78" s="265"/>
      <c r="D78" s="265"/>
      <c r="E78" s="265"/>
      <c r="F78" s="266"/>
      <c r="G78" s="267" t="str">
        <f t="shared" si="1"/>
        <v/>
      </c>
      <c r="H78" s="264"/>
      <c r="I78" s="282"/>
      <c r="J78" s="282"/>
      <c r="K78" s="282"/>
      <c r="L78" s="282"/>
      <c r="M78" s="269"/>
      <c r="N78" s="283" t="str">
        <f t="array" ref="N78">if(C78=0,"",INDEX('Biaya Administrasi'!E:E, MATCH(I78, 'Biaya Administrasi'!B:B, 0)))</f>
        <v/>
      </c>
      <c r="O78" s="284" t="str">
        <f t="shared" si="2"/>
        <v/>
      </c>
      <c r="P78" s="285" t="str">
        <f t="array" ref="P78">if(J78=0,"",INDEX('Biaya Gratis Ongkir Xtra'!D:D, MATCH(J78, 'Biaya Gratis Ongkir Xtra'!C:C, 0)))</f>
        <v/>
      </c>
      <c r="Q78" s="286" t="str">
        <f t="shared" si="3"/>
        <v/>
      </c>
      <c r="R78" s="287" t="str">
        <f t="array" ref="R78">if(K78=0,"",INDEX('Biaya Gratis Ongkir Xtra'!$C$7:$C$10, MATCH(K78, 'Biaya Gratis Ongkir Xtra'!$B$7:$B$10, 0)))</f>
        <v/>
      </c>
      <c r="S78" s="288" t="str">
        <f t="shared" si="4"/>
        <v/>
      </c>
      <c r="T78" s="273" t="str">
        <f t="shared" si="13"/>
        <v/>
      </c>
      <c r="U78" s="287" t="str">
        <f t="array" ref="U78">if(C78=0,"",INDEX('Biaya Gratis Ongkir Xtra'!$C$3:$C$4, MATCH(L78, 'Biaya Gratis Ongkir Xtra'!$B$3:$B$4, 0)))</f>
        <v/>
      </c>
      <c r="V78" s="288" t="str">
        <f t="shared" si="6"/>
        <v/>
      </c>
      <c r="W78" s="264"/>
      <c r="X78" s="289" t="str">
        <f t="shared" si="7"/>
        <v/>
      </c>
      <c r="Y78" s="290" t="str">
        <f t="shared" si="8"/>
        <v/>
      </c>
      <c r="Z78" s="291" t="str">
        <f t="shared" si="9"/>
        <v/>
      </c>
      <c r="AA78" s="289" t="str">
        <f t="shared" si="10"/>
        <v/>
      </c>
      <c r="AB78" s="291" t="str">
        <f t="shared" si="11"/>
        <v/>
      </c>
      <c r="AC78" s="292" t="str">
        <f t="shared" si="12"/>
        <v/>
      </c>
      <c r="AD78" s="281"/>
      <c r="AE78" s="22"/>
    </row>
    <row r="79">
      <c r="A79" s="264"/>
      <c r="B79" s="267"/>
      <c r="C79" s="265"/>
      <c r="D79" s="265"/>
      <c r="E79" s="265"/>
      <c r="F79" s="266"/>
      <c r="G79" s="267" t="str">
        <f t="shared" si="1"/>
        <v/>
      </c>
      <c r="H79" s="264"/>
      <c r="I79" s="282"/>
      <c r="J79" s="282"/>
      <c r="K79" s="282"/>
      <c r="L79" s="282"/>
      <c r="M79" s="269"/>
      <c r="N79" s="283" t="str">
        <f t="array" ref="N79">if(C79=0,"",INDEX('Biaya Administrasi'!E:E, MATCH(I79, 'Biaya Administrasi'!B:B, 0)))</f>
        <v/>
      </c>
      <c r="O79" s="284" t="str">
        <f t="shared" si="2"/>
        <v/>
      </c>
      <c r="P79" s="285" t="str">
        <f t="array" ref="P79">if(J79=0,"",INDEX('Biaya Gratis Ongkir Xtra'!D:D, MATCH(J79, 'Biaya Gratis Ongkir Xtra'!C:C, 0)))</f>
        <v/>
      </c>
      <c r="Q79" s="286" t="str">
        <f t="shared" si="3"/>
        <v/>
      </c>
      <c r="R79" s="287" t="str">
        <f t="array" ref="R79">if(K79=0,"",INDEX('Biaya Gratis Ongkir Xtra'!$C$7:$C$10, MATCH(K79, 'Biaya Gratis Ongkir Xtra'!$B$7:$B$10, 0)))</f>
        <v/>
      </c>
      <c r="S79" s="288" t="str">
        <f t="shared" si="4"/>
        <v/>
      </c>
      <c r="T79" s="273" t="str">
        <f t="shared" si="13"/>
        <v/>
      </c>
      <c r="U79" s="287" t="str">
        <f t="array" ref="U79">if(C79=0,"",INDEX('Biaya Gratis Ongkir Xtra'!$C$3:$C$4, MATCH(L79, 'Biaya Gratis Ongkir Xtra'!$B$3:$B$4, 0)))</f>
        <v/>
      </c>
      <c r="V79" s="288" t="str">
        <f t="shared" si="6"/>
        <v/>
      </c>
      <c r="W79" s="264"/>
      <c r="X79" s="289" t="str">
        <f t="shared" si="7"/>
        <v/>
      </c>
      <c r="Y79" s="290" t="str">
        <f t="shared" si="8"/>
        <v/>
      </c>
      <c r="Z79" s="291" t="str">
        <f t="shared" si="9"/>
        <v/>
      </c>
      <c r="AA79" s="289" t="str">
        <f t="shared" si="10"/>
        <v/>
      </c>
      <c r="AB79" s="291" t="str">
        <f t="shared" si="11"/>
        <v/>
      </c>
      <c r="AC79" s="292" t="str">
        <f t="shared" si="12"/>
        <v/>
      </c>
      <c r="AD79" s="281"/>
      <c r="AE79" s="22"/>
    </row>
    <row r="80">
      <c r="A80" s="264"/>
      <c r="B80" s="267"/>
      <c r="C80" s="265"/>
      <c r="D80" s="265"/>
      <c r="E80" s="265"/>
      <c r="F80" s="266"/>
      <c r="G80" s="267" t="str">
        <f t="shared" si="1"/>
        <v/>
      </c>
      <c r="H80" s="264"/>
      <c r="I80" s="282"/>
      <c r="J80" s="282"/>
      <c r="K80" s="282"/>
      <c r="L80" s="282"/>
      <c r="M80" s="269"/>
      <c r="N80" s="283" t="str">
        <f t="array" ref="N80">if(C80=0,"",INDEX('Biaya Administrasi'!E:E, MATCH(I80, 'Biaya Administrasi'!B:B, 0)))</f>
        <v/>
      </c>
      <c r="O80" s="284" t="str">
        <f t="shared" si="2"/>
        <v/>
      </c>
      <c r="P80" s="285" t="str">
        <f t="array" ref="P80">if(J80=0,"",INDEX('Biaya Gratis Ongkir Xtra'!D:D, MATCH(J80, 'Biaya Gratis Ongkir Xtra'!C:C, 0)))</f>
        <v/>
      </c>
      <c r="Q80" s="286" t="str">
        <f t="shared" si="3"/>
        <v/>
      </c>
      <c r="R80" s="287" t="str">
        <f t="array" ref="R80">if(K80=0,"",INDEX('Biaya Gratis Ongkir Xtra'!$C$7:$C$10, MATCH(K80, 'Biaya Gratis Ongkir Xtra'!$B$7:$B$10, 0)))</f>
        <v/>
      </c>
      <c r="S80" s="288" t="str">
        <f t="shared" si="4"/>
        <v/>
      </c>
      <c r="T80" s="273" t="str">
        <f t="shared" si="13"/>
        <v/>
      </c>
      <c r="U80" s="287" t="str">
        <f t="array" ref="U80">if(C80=0,"",INDEX('Biaya Gratis Ongkir Xtra'!$C$3:$C$4, MATCH(L80, 'Biaya Gratis Ongkir Xtra'!$B$3:$B$4, 0)))</f>
        <v/>
      </c>
      <c r="V80" s="288" t="str">
        <f t="shared" si="6"/>
        <v/>
      </c>
      <c r="W80" s="264"/>
      <c r="X80" s="289" t="str">
        <f t="shared" si="7"/>
        <v/>
      </c>
      <c r="Y80" s="290" t="str">
        <f t="shared" si="8"/>
        <v/>
      </c>
      <c r="Z80" s="291" t="str">
        <f t="shared" si="9"/>
        <v/>
      </c>
      <c r="AA80" s="289" t="str">
        <f t="shared" si="10"/>
        <v/>
      </c>
      <c r="AB80" s="291" t="str">
        <f t="shared" si="11"/>
        <v/>
      </c>
      <c r="AC80" s="292" t="str">
        <f t="shared" si="12"/>
        <v/>
      </c>
      <c r="AD80" s="281"/>
      <c r="AE80" s="22"/>
    </row>
    <row r="81">
      <c r="A81" s="264"/>
      <c r="B81" s="267"/>
      <c r="C81" s="265"/>
      <c r="D81" s="265"/>
      <c r="E81" s="265"/>
      <c r="F81" s="266"/>
      <c r="G81" s="267" t="str">
        <f t="shared" si="1"/>
        <v/>
      </c>
      <c r="H81" s="264"/>
      <c r="I81" s="282"/>
      <c r="J81" s="282"/>
      <c r="K81" s="282"/>
      <c r="L81" s="282"/>
      <c r="M81" s="269"/>
      <c r="N81" s="283" t="str">
        <f t="array" ref="N81">if(C81=0,"",INDEX('Biaya Administrasi'!E:E, MATCH(I81, 'Biaya Administrasi'!B:B, 0)))</f>
        <v/>
      </c>
      <c r="O81" s="284" t="str">
        <f t="shared" si="2"/>
        <v/>
      </c>
      <c r="P81" s="285" t="str">
        <f t="array" ref="P81">if(J81=0,"",INDEX('Biaya Gratis Ongkir Xtra'!D:D, MATCH(J81, 'Biaya Gratis Ongkir Xtra'!C:C, 0)))</f>
        <v/>
      </c>
      <c r="Q81" s="286" t="str">
        <f t="shared" si="3"/>
        <v/>
      </c>
      <c r="R81" s="287" t="str">
        <f t="array" ref="R81">if(K81=0,"",INDEX('Biaya Gratis Ongkir Xtra'!$C$7:$C$10, MATCH(K81, 'Biaya Gratis Ongkir Xtra'!$B$7:$B$10, 0)))</f>
        <v/>
      </c>
      <c r="S81" s="288" t="str">
        <f t="shared" si="4"/>
        <v/>
      </c>
      <c r="T81" s="273" t="str">
        <f t="shared" si="13"/>
        <v/>
      </c>
      <c r="U81" s="287" t="str">
        <f t="array" ref="U81">if(C81=0,"",INDEX('Biaya Gratis Ongkir Xtra'!$C$3:$C$4, MATCH(L81, 'Biaya Gratis Ongkir Xtra'!$B$3:$B$4, 0)))</f>
        <v/>
      </c>
      <c r="V81" s="288" t="str">
        <f t="shared" si="6"/>
        <v/>
      </c>
      <c r="W81" s="264"/>
      <c r="X81" s="289" t="str">
        <f t="shared" si="7"/>
        <v/>
      </c>
      <c r="Y81" s="290" t="str">
        <f t="shared" si="8"/>
        <v/>
      </c>
      <c r="Z81" s="291" t="str">
        <f t="shared" si="9"/>
        <v/>
      </c>
      <c r="AA81" s="289" t="str">
        <f t="shared" si="10"/>
        <v/>
      </c>
      <c r="AB81" s="291" t="str">
        <f t="shared" si="11"/>
        <v/>
      </c>
      <c r="AC81" s="292" t="str">
        <f t="shared" si="12"/>
        <v/>
      </c>
      <c r="AD81" s="281"/>
      <c r="AE81" s="22"/>
    </row>
    <row r="82">
      <c r="A82" s="264"/>
      <c r="B82" s="267"/>
      <c r="C82" s="265"/>
      <c r="D82" s="265"/>
      <c r="E82" s="265"/>
      <c r="F82" s="266"/>
      <c r="G82" s="267" t="str">
        <f t="shared" si="1"/>
        <v/>
      </c>
      <c r="H82" s="264"/>
      <c r="I82" s="282"/>
      <c r="J82" s="282"/>
      <c r="K82" s="282"/>
      <c r="L82" s="282"/>
      <c r="M82" s="269"/>
      <c r="N82" s="283" t="str">
        <f t="array" ref="N82">if(C82=0,"",INDEX('Biaya Administrasi'!E:E, MATCH(I82, 'Biaya Administrasi'!B:B, 0)))</f>
        <v/>
      </c>
      <c r="O82" s="284" t="str">
        <f t="shared" si="2"/>
        <v/>
      </c>
      <c r="P82" s="285" t="str">
        <f t="array" ref="P82">if(J82=0,"",INDEX('Biaya Gratis Ongkir Xtra'!D:D, MATCH(J82, 'Biaya Gratis Ongkir Xtra'!C:C, 0)))</f>
        <v/>
      </c>
      <c r="Q82" s="286" t="str">
        <f t="shared" si="3"/>
        <v/>
      </c>
      <c r="R82" s="287" t="str">
        <f t="array" ref="R82">if(K82=0,"",INDEX('Biaya Gratis Ongkir Xtra'!$C$7:$C$10, MATCH(K82, 'Biaya Gratis Ongkir Xtra'!$B$7:$B$10, 0)))</f>
        <v/>
      </c>
      <c r="S82" s="288" t="str">
        <f t="shared" si="4"/>
        <v/>
      </c>
      <c r="T82" s="273" t="str">
        <f t="shared" si="13"/>
        <v/>
      </c>
      <c r="U82" s="287" t="str">
        <f t="array" ref="U82">if(C82=0,"",INDEX('Biaya Gratis Ongkir Xtra'!$C$3:$C$4, MATCH(L82, 'Biaya Gratis Ongkir Xtra'!$B$3:$B$4, 0)))</f>
        <v/>
      </c>
      <c r="V82" s="288" t="str">
        <f t="shared" si="6"/>
        <v/>
      </c>
      <c r="W82" s="264"/>
      <c r="X82" s="289" t="str">
        <f t="shared" si="7"/>
        <v/>
      </c>
      <c r="Y82" s="290" t="str">
        <f t="shared" si="8"/>
        <v/>
      </c>
      <c r="Z82" s="291" t="str">
        <f t="shared" si="9"/>
        <v/>
      </c>
      <c r="AA82" s="289" t="str">
        <f t="shared" si="10"/>
        <v/>
      </c>
      <c r="AB82" s="291" t="str">
        <f t="shared" si="11"/>
        <v/>
      </c>
      <c r="AC82" s="292" t="str">
        <f t="shared" si="12"/>
        <v/>
      </c>
      <c r="AD82" s="281"/>
      <c r="AE82" s="22"/>
    </row>
    <row r="83">
      <c r="A83" s="264"/>
      <c r="B83" s="267"/>
      <c r="C83" s="265"/>
      <c r="D83" s="265"/>
      <c r="E83" s="265"/>
      <c r="F83" s="266"/>
      <c r="G83" s="267" t="str">
        <f t="shared" si="1"/>
        <v/>
      </c>
      <c r="H83" s="264"/>
      <c r="I83" s="282"/>
      <c r="J83" s="282"/>
      <c r="K83" s="282"/>
      <c r="L83" s="282"/>
      <c r="M83" s="269"/>
      <c r="N83" s="283" t="str">
        <f t="array" ref="N83">if(C83=0,"",INDEX('Biaya Administrasi'!E:E, MATCH(I83, 'Biaya Administrasi'!B:B, 0)))</f>
        <v/>
      </c>
      <c r="O83" s="284" t="str">
        <f t="shared" si="2"/>
        <v/>
      </c>
      <c r="P83" s="285" t="str">
        <f t="array" ref="P83">if(J83=0,"",INDEX('Biaya Gratis Ongkir Xtra'!D:D, MATCH(J83, 'Biaya Gratis Ongkir Xtra'!C:C, 0)))</f>
        <v/>
      </c>
      <c r="Q83" s="286" t="str">
        <f t="shared" si="3"/>
        <v/>
      </c>
      <c r="R83" s="287" t="str">
        <f t="array" ref="R83">if(K83=0,"",INDEX('Biaya Gratis Ongkir Xtra'!$C$7:$C$10, MATCH(K83, 'Biaya Gratis Ongkir Xtra'!$B$7:$B$10, 0)))</f>
        <v/>
      </c>
      <c r="S83" s="288" t="str">
        <f t="shared" si="4"/>
        <v/>
      </c>
      <c r="T83" s="273" t="str">
        <f t="shared" si="13"/>
        <v/>
      </c>
      <c r="U83" s="287" t="str">
        <f t="array" ref="U83">if(C83=0,"",INDEX('Biaya Gratis Ongkir Xtra'!$C$3:$C$4, MATCH(L83, 'Biaya Gratis Ongkir Xtra'!$B$3:$B$4, 0)))</f>
        <v/>
      </c>
      <c r="V83" s="288" t="str">
        <f t="shared" si="6"/>
        <v/>
      </c>
      <c r="W83" s="264"/>
      <c r="X83" s="289" t="str">
        <f t="shared" si="7"/>
        <v/>
      </c>
      <c r="Y83" s="290" t="str">
        <f t="shared" si="8"/>
        <v/>
      </c>
      <c r="Z83" s="291" t="str">
        <f t="shared" si="9"/>
        <v/>
      </c>
      <c r="AA83" s="289" t="str">
        <f t="shared" si="10"/>
        <v/>
      </c>
      <c r="AB83" s="291" t="str">
        <f t="shared" si="11"/>
        <v/>
      </c>
      <c r="AC83" s="292" t="str">
        <f t="shared" si="12"/>
        <v/>
      </c>
      <c r="AD83" s="281"/>
      <c r="AE83" s="22"/>
    </row>
    <row r="84">
      <c r="A84" s="264"/>
      <c r="B84" s="267"/>
      <c r="C84" s="265"/>
      <c r="D84" s="265"/>
      <c r="E84" s="265"/>
      <c r="F84" s="266"/>
      <c r="G84" s="267" t="str">
        <f t="shared" si="1"/>
        <v/>
      </c>
      <c r="H84" s="264"/>
      <c r="I84" s="282"/>
      <c r="J84" s="282"/>
      <c r="K84" s="282"/>
      <c r="L84" s="282"/>
      <c r="M84" s="269"/>
      <c r="N84" s="283" t="str">
        <f t="array" ref="N84">if(C84=0,"",INDEX('Biaya Administrasi'!E:E, MATCH(I84, 'Biaya Administrasi'!B:B, 0)))</f>
        <v/>
      </c>
      <c r="O84" s="284" t="str">
        <f t="shared" si="2"/>
        <v/>
      </c>
      <c r="P84" s="285" t="str">
        <f t="array" ref="P84">if(J84=0,"",INDEX('Biaya Gratis Ongkir Xtra'!D:D, MATCH(J84, 'Biaya Gratis Ongkir Xtra'!C:C, 0)))</f>
        <v/>
      </c>
      <c r="Q84" s="286" t="str">
        <f t="shared" si="3"/>
        <v/>
      </c>
      <c r="R84" s="287" t="str">
        <f t="array" ref="R84">if(K84=0,"",INDEX('Biaya Gratis Ongkir Xtra'!$C$7:$C$10, MATCH(K84, 'Biaya Gratis Ongkir Xtra'!$B$7:$B$10, 0)))</f>
        <v/>
      </c>
      <c r="S84" s="288" t="str">
        <f t="shared" si="4"/>
        <v/>
      </c>
      <c r="T84" s="273" t="str">
        <f t="shared" si="13"/>
        <v/>
      </c>
      <c r="U84" s="287" t="str">
        <f t="array" ref="U84">if(C84=0,"",INDEX('Biaya Gratis Ongkir Xtra'!$C$3:$C$4, MATCH(L84, 'Biaya Gratis Ongkir Xtra'!$B$3:$B$4, 0)))</f>
        <v/>
      </c>
      <c r="V84" s="288" t="str">
        <f t="shared" si="6"/>
        <v/>
      </c>
      <c r="W84" s="264"/>
      <c r="X84" s="289" t="str">
        <f t="shared" si="7"/>
        <v/>
      </c>
      <c r="Y84" s="290" t="str">
        <f t="shared" si="8"/>
        <v/>
      </c>
      <c r="Z84" s="291" t="str">
        <f t="shared" si="9"/>
        <v/>
      </c>
      <c r="AA84" s="289" t="str">
        <f t="shared" si="10"/>
        <v/>
      </c>
      <c r="AB84" s="291" t="str">
        <f t="shared" si="11"/>
        <v/>
      </c>
      <c r="AC84" s="292" t="str">
        <f t="shared" si="12"/>
        <v/>
      </c>
      <c r="AD84" s="281"/>
      <c r="AE84" s="22"/>
    </row>
    <row r="85">
      <c r="A85" s="264"/>
      <c r="B85" s="267"/>
      <c r="C85" s="265"/>
      <c r="D85" s="265"/>
      <c r="E85" s="265"/>
      <c r="F85" s="266"/>
      <c r="G85" s="267" t="str">
        <f t="shared" si="1"/>
        <v/>
      </c>
      <c r="H85" s="264"/>
      <c r="I85" s="282"/>
      <c r="J85" s="282"/>
      <c r="K85" s="282"/>
      <c r="L85" s="282"/>
      <c r="M85" s="269"/>
      <c r="N85" s="283" t="str">
        <f t="array" ref="N85">if(C85=0,"",INDEX('Biaya Administrasi'!E:E, MATCH(I85, 'Biaya Administrasi'!B:B, 0)))</f>
        <v/>
      </c>
      <c r="O85" s="284" t="str">
        <f t="shared" si="2"/>
        <v/>
      </c>
      <c r="P85" s="285" t="str">
        <f t="array" ref="P85">if(J85=0,"",INDEX('Biaya Gratis Ongkir Xtra'!D:D, MATCH(J85, 'Biaya Gratis Ongkir Xtra'!C:C, 0)))</f>
        <v/>
      </c>
      <c r="Q85" s="286" t="str">
        <f t="shared" si="3"/>
        <v/>
      </c>
      <c r="R85" s="287" t="str">
        <f t="array" ref="R85">if(K85=0,"",INDEX('Biaya Gratis Ongkir Xtra'!$C$7:$C$10, MATCH(K85, 'Biaya Gratis Ongkir Xtra'!$B$7:$B$10, 0)))</f>
        <v/>
      </c>
      <c r="S85" s="288" t="str">
        <f t="shared" si="4"/>
        <v/>
      </c>
      <c r="T85" s="273" t="str">
        <f t="shared" si="13"/>
        <v/>
      </c>
      <c r="U85" s="287" t="str">
        <f t="array" ref="U85">if(C85=0,"",INDEX('Biaya Gratis Ongkir Xtra'!$C$3:$C$4, MATCH(L85, 'Biaya Gratis Ongkir Xtra'!$B$3:$B$4, 0)))</f>
        <v/>
      </c>
      <c r="V85" s="288" t="str">
        <f t="shared" si="6"/>
        <v/>
      </c>
      <c r="W85" s="264"/>
      <c r="X85" s="289" t="str">
        <f t="shared" si="7"/>
        <v/>
      </c>
      <c r="Y85" s="290" t="str">
        <f t="shared" si="8"/>
        <v/>
      </c>
      <c r="Z85" s="291" t="str">
        <f t="shared" si="9"/>
        <v/>
      </c>
      <c r="AA85" s="289" t="str">
        <f t="shared" si="10"/>
        <v/>
      </c>
      <c r="AB85" s="291" t="str">
        <f t="shared" si="11"/>
        <v/>
      </c>
      <c r="AC85" s="292" t="str">
        <f t="shared" si="12"/>
        <v/>
      </c>
      <c r="AD85" s="281"/>
      <c r="AE85" s="22"/>
    </row>
    <row r="86">
      <c r="A86" s="264"/>
      <c r="B86" s="267"/>
      <c r="C86" s="265"/>
      <c r="D86" s="265"/>
      <c r="E86" s="265"/>
      <c r="F86" s="266"/>
      <c r="G86" s="267" t="str">
        <f t="shared" si="1"/>
        <v/>
      </c>
      <c r="H86" s="264"/>
      <c r="I86" s="282"/>
      <c r="J86" s="282"/>
      <c r="K86" s="282"/>
      <c r="L86" s="282"/>
      <c r="M86" s="269"/>
      <c r="N86" s="283" t="str">
        <f t="array" ref="N86">if(C86=0,"",INDEX('Biaya Administrasi'!E:E, MATCH(I86, 'Biaya Administrasi'!B:B, 0)))</f>
        <v/>
      </c>
      <c r="O86" s="284" t="str">
        <f t="shared" si="2"/>
        <v/>
      </c>
      <c r="P86" s="285" t="str">
        <f t="array" ref="P86">if(J86=0,"",INDEX('Biaya Gratis Ongkir Xtra'!D:D, MATCH(J86, 'Biaya Gratis Ongkir Xtra'!C:C, 0)))</f>
        <v/>
      </c>
      <c r="Q86" s="286" t="str">
        <f t="shared" si="3"/>
        <v/>
      </c>
      <c r="R86" s="287" t="str">
        <f t="array" ref="R86">if(K86=0,"",INDEX('Biaya Gratis Ongkir Xtra'!$C$7:$C$10, MATCH(K86, 'Biaya Gratis Ongkir Xtra'!$B$7:$B$10, 0)))</f>
        <v/>
      </c>
      <c r="S86" s="288" t="str">
        <f t="shared" si="4"/>
        <v/>
      </c>
      <c r="T86" s="273" t="str">
        <f t="shared" si="13"/>
        <v/>
      </c>
      <c r="U86" s="287" t="str">
        <f t="array" ref="U86">if(C86=0,"",INDEX('Biaya Gratis Ongkir Xtra'!$C$3:$C$4, MATCH(L86, 'Biaya Gratis Ongkir Xtra'!$B$3:$B$4, 0)))</f>
        <v/>
      </c>
      <c r="V86" s="288" t="str">
        <f t="shared" si="6"/>
        <v/>
      </c>
      <c r="W86" s="264"/>
      <c r="X86" s="289" t="str">
        <f t="shared" si="7"/>
        <v/>
      </c>
      <c r="Y86" s="290" t="str">
        <f t="shared" si="8"/>
        <v/>
      </c>
      <c r="Z86" s="291" t="str">
        <f t="shared" si="9"/>
        <v/>
      </c>
      <c r="AA86" s="289" t="str">
        <f t="shared" si="10"/>
        <v/>
      </c>
      <c r="AB86" s="291" t="str">
        <f t="shared" si="11"/>
        <v/>
      </c>
      <c r="AC86" s="292" t="str">
        <f t="shared" si="12"/>
        <v/>
      </c>
      <c r="AD86" s="281"/>
      <c r="AE86" s="22"/>
    </row>
    <row r="87">
      <c r="A87" s="264"/>
      <c r="B87" s="267"/>
      <c r="C87" s="265"/>
      <c r="D87" s="265"/>
      <c r="E87" s="265"/>
      <c r="F87" s="266"/>
      <c r="G87" s="267" t="str">
        <f t="shared" si="1"/>
        <v/>
      </c>
      <c r="H87" s="264"/>
      <c r="I87" s="282"/>
      <c r="J87" s="282"/>
      <c r="K87" s="282"/>
      <c r="L87" s="282"/>
      <c r="M87" s="269"/>
      <c r="N87" s="283" t="str">
        <f t="array" ref="N87">if(C87=0,"",INDEX('Biaya Administrasi'!E:E, MATCH(I87, 'Biaya Administrasi'!B:B, 0)))</f>
        <v/>
      </c>
      <c r="O87" s="284" t="str">
        <f t="shared" si="2"/>
        <v/>
      </c>
      <c r="P87" s="285" t="str">
        <f t="array" ref="P87">if(J87=0,"",INDEX('Biaya Gratis Ongkir Xtra'!D:D, MATCH(J87, 'Biaya Gratis Ongkir Xtra'!C:C, 0)))</f>
        <v/>
      </c>
      <c r="Q87" s="286" t="str">
        <f t="shared" si="3"/>
        <v/>
      </c>
      <c r="R87" s="287" t="str">
        <f t="array" ref="R87">if(K87=0,"",INDEX('Biaya Gratis Ongkir Xtra'!$C$7:$C$10, MATCH(K87, 'Biaya Gratis Ongkir Xtra'!$B$7:$B$10, 0)))</f>
        <v/>
      </c>
      <c r="S87" s="288" t="str">
        <f t="shared" si="4"/>
        <v/>
      </c>
      <c r="T87" s="273" t="str">
        <f t="shared" si="13"/>
        <v/>
      </c>
      <c r="U87" s="287" t="str">
        <f t="array" ref="U87">if(C87=0,"",INDEX('Biaya Gratis Ongkir Xtra'!$C$3:$C$4, MATCH(L87, 'Biaya Gratis Ongkir Xtra'!$B$3:$B$4, 0)))</f>
        <v/>
      </c>
      <c r="V87" s="288" t="str">
        <f t="shared" si="6"/>
        <v/>
      </c>
      <c r="W87" s="264"/>
      <c r="X87" s="289" t="str">
        <f t="shared" si="7"/>
        <v/>
      </c>
      <c r="Y87" s="290" t="str">
        <f t="shared" si="8"/>
        <v/>
      </c>
      <c r="Z87" s="291" t="str">
        <f t="shared" si="9"/>
        <v/>
      </c>
      <c r="AA87" s="289" t="str">
        <f t="shared" si="10"/>
        <v/>
      </c>
      <c r="AB87" s="291" t="str">
        <f t="shared" si="11"/>
        <v/>
      </c>
      <c r="AC87" s="292" t="str">
        <f t="shared" si="12"/>
        <v/>
      </c>
      <c r="AD87" s="281"/>
      <c r="AE87" s="22"/>
    </row>
    <row r="88">
      <c r="A88" s="264"/>
      <c r="B88" s="267"/>
      <c r="C88" s="265"/>
      <c r="D88" s="265"/>
      <c r="E88" s="265"/>
      <c r="F88" s="266"/>
      <c r="G88" s="267" t="str">
        <f t="shared" si="1"/>
        <v/>
      </c>
      <c r="H88" s="264"/>
      <c r="I88" s="282"/>
      <c r="J88" s="282"/>
      <c r="K88" s="282"/>
      <c r="L88" s="282"/>
      <c r="M88" s="269"/>
      <c r="N88" s="283" t="str">
        <f t="array" ref="N88">if(C88=0,"",INDEX('Biaya Administrasi'!E:E, MATCH(I88, 'Biaya Administrasi'!B:B, 0)))</f>
        <v/>
      </c>
      <c r="O88" s="284" t="str">
        <f t="shared" si="2"/>
        <v/>
      </c>
      <c r="P88" s="285" t="str">
        <f t="array" ref="P88">if(J88=0,"",INDEX('Biaya Gratis Ongkir Xtra'!D:D, MATCH(J88, 'Biaya Gratis Ongkir Xtra'!C:C, 0)))</f>
        <v/>
      </c>
      <c r="Q88" s="286" t="str">
        <f t="shared" si="3"/>
        <v/>
      </c>
      <c r="R88" s="287" t="str">
        <f t="array" ref="R88">if(K88=0,"",INDEX('Biaya Gratis Ongkir Xtra'!$C$7:$C$10, MATCH(K88, 'Biaya Gratis Ongkir Xtra'!$B$7:$B$10, 0)))</f>
        <v/>
      </c>
      <c r="S88" s="288" t="str">
        <f t="shared" si="4"/>
        <v/>
      </c>
      <c r="T88" s="273" t="str">
        <f t="shared" si="13"/>
        <v/>
      </c>
      <c r="U88" s="287" t="str">
        <f t="array" ref="U88">if(C88=0,"",INDEX('Biaya Gratis Ongkir Xtra'!$C$3:$C$4, MATCH(L88, 'Biaya Gratis Ongkir Xtra'!$B$3:$B$4, 0)))</f>
        <v/>
      </c>
      <c r="V88" s="288" t="str">
        <f t="shared" si="6"/>
        <v/>
      </c>
      <c r="W88" s="264"/>
      <c r="X88" s="289" t="str">
        <f t="shared" si="7"/>
        <v/>
      </c>
      <c r="Y88" s="290" t="str">
        <f t="shared" si="8"/>
        <v/>
      </c>
      <c r="Z88" s="291" t="str">
        <f t="shared" si="9"/>
        <v/>
      </c>
      <c r="AA88" s="289" t="str">
        <f t="shared" si="10"/>
        <v/>
      </c>
      <c r="AB88" s="291" t="str">
        <f t="shared" si="11"/>
        <v/>
      </c>
      <c r="AC88" s="292" t="str">
        <f t="shared" si="12"/>
        <v/>
      </c>
      <c r="AD88" s="281"/>
      <c r="AE88" s="22"/>
    </row>
    <row r="89">
      <c r="A89" s="264"/>
      <c r="B89" s="267"/>
      <c r="C89" s="265"/>
      <c r="D89" s="265"/>
      <c r="E89" s="265"/>
      <c r="F89" s="266"/>
      <c r="G89" s="267" t="str">
        <f t="shared" si="1"/>
        <v/>
      </c>
      <c r="H89" s="264"/>
      <c r="I89" s="282"/>
      <c r="J89" s="282"/>
      <c r="K89" s="282"/>
      <c r="L89" s="282"/>
      <c r="M89" s="269"/>
      <c r="N89" s="283" t="str">
        <f t="array" ref="N89">if(C89=0,"",INDEX('Biaya Administrasi'!E:E, MATCH(I89, 'Biaya Administrasi'!B:B, 0)))</f>
        <v/>
      </c>
      <c r="O89" s="284" t="str">
        <f t="shared" si="2"/>
        <v/>
      </c>
      <c r="P89" s="285" t="str">
        <f t="array" ref="P89">if(J89=0,"",INDEX('Biaya Gratis Ongkir Xtra'!D:D, MATCH(J89, 'Biaya Gratis Ongkir Xtra'!C:C, 0)))</f>
        <v/>
      </c>
      <c r="Q89" s="286" t="str">
        <f t="shared" si="3"/>
        <v/>
      </c>
      <c r="R89" s="287" t="str">
        <f t="array" ref="R89">if(K89=0,"",INDEX('Biaya Gratis Ongkir Xtra'!$C$7:$C$10, MATCH(K89, 'Biaya Gratis Ongkir Xtra'!$B$7:$B$10, 0)))</f>
        <v/>
      </c>
      <c r="S89" s="288" t="str">
        <f t="shared" si="4"/>
        <v/>
      </c>
      <c r="T89" s="273" t="str">
        <f t="shared" si="13"/>
        <v/>
      </c>
      <c r="U89" s="287" t="str">
        <f t="array" ref="U89">if(C89=0,"",INDEX('Biaya Gratis Ongkir Xtra'!$C$3:$C$4, MATCH(L89, 'Biaya Gratis Ongkir Xtra'!$B$3:$B$4, 0)))</f>
        <v/>
      </c>
      <c r="V89" s="288" t="str">
        <f t="shared" si="6"/>
        <v/>
      </c>
      <c r="W89" s="264"/>
      <c r="X89" s="289" t="str">
        <f t="shared" si="7"/>
        <v/>
      </c>
      <c r="Y89" s="290" t="str">
        <f t="shared" si="8"/>
        <v/>
      </c>
      <c r="Z89" s="291" t="str">
        <f t="shared" si="9"/>
        <v/>
      </c>
      <c r="AA89" s="289" t="str">
        <f t="shared" si="10"/>
        <v/>
      </c>
      <c r="AB89" s="291" t="str">
        <f t="shared" si="11"/>
        <v/>
      </c>
      <c r="AC89" s="292" t="str">
        <f t="shared" si="12"/>
        <v/>
      </c>
      <c r="AD89" s="281"/>
      <c r="AE89" s="22"/>
    </row>
    <row r="90">
      <c r="A90" s="264"/>
      <c r="B90" s="267"/>
      <c r="C90" s="265"/>
      <c r="D90" s="265"/>
      <c r="E90" s="265"/>
      <c r="F90" s="266"/>
      <c r="G90" s="267" t="str">
        <f t="shared" si="1"/>
        <v/>
      </c>
      <c r="H90" s="264"/>
      <c r="I90" s="282"/>
      <c r="J90" s="282"/>
      <c r="K90" s="282"/>
      <c r="L90" s="282"/>
      <c r="M90" s="269"/>
      <c r="N90" s="283" t="str">
        <f t="array" ref="N90">if(C90=0,"",INDEX('Biaya Administrasi'!E:E, MATCH(I90, 'Biaya Administrasi'!B:B, 0)))</f>
        <v/>
      </c>
      <c r="O90" s="284" t="str">
        <f t="shared" si="2"/>
        <v/>
      </c>
      <c r="P90" s="285" t="str">
        <f t="array" ref="P90">if(J90=0,"",INDEX('Biaya Gratis Ongkir Xtra'!D:D, MATCH(J90, 'Biaya Gratis Ongkir Xtra'!C:C, 0)))</f>
        <v/>
      </c>
      <c r="Q90" s="286" t="str">
        <f t="shared" si="3"/>
        <v/>
      </c>
      <c r="R90" s="287" t="str">
        <f t="array" ref="R90">if(K90=0,"",INDEX('Biaya Gratis Ongkir Xtra'!$C$7:$C$10, MATCH(K90, 'Biaya Gratis Ongkir Xtra'!$B$7:$B$10, 0)))</f>
        <v/>
      </c>
      <c r="S90" s="288" t="str">
        <f t="shared" si="4"/>
        <v/>
      </c>
      <c r="T90" s="273" t="str">
        <f t="shared" si="13"/>
        <v/>
      </c>
      <c r="U90" s="287" t="str">
        <f t="array" ref="U90">if(C90=0,"",INDEX('Biaya Gratis Ongkir Xtra'!$C$3:$C$4, MATCH(L90, 'Biaya Gratis Ongkir Xtra'!$B$3:$B$4, 0)))</f>
        <v/>
      </c>
      <c r="V90" s="288" t="str">
        <f t="shared" si="6"/>
        <v/>
      </c>
      <c r="W90" s="264"/>
      <c r="X90" s="289" t="str">
        <f t="shared" si="7"/>
        <v/>
      </c>
      <c r="Y90" s="290" t="str">
        <f t="shared" si="8"/>
        <v/>
      </c>
      <c r="Z90" s="291" t="str">
        <f t="shared" si="9"/>
        <v/>
      </c>
      <c r="AA90" s="289" t="str">
        <f t="shared" si="10"/>
        <v/>
      </c>
      <c r="AB90" s="291" t="str">
        <f t="shared" si="11"/>
        <v/>
      </c>
      <c r="AC90" s="292" t="str">
        <f t="shared" si="12"/>
        <v/>
      </c>
      <c r="AD90" s="281"/>
      <c r="AE90" s="22"/>
    </row>
    <row r="91">
      <c r="A91" s="264"/>
      <c r="B91" s="267"/>
      <c r="C91" s="265"/>
      <c r="D91" s="265"/>
      <c r="E91" s="265"/>
      <c r="F91" s="266"/>
      <c r="G91" s="267" t="str">
        <f t="shared" si="1"/>
        <v/>
      </c>
      <c r="H91" s="264"/>
      <c r="I91" s="282"/>
      <c r="J91" s="282"/>
      <c r="K91" s="282"/>
      <c r="L91" s="282"/>
      <c r="M91" s="269"/>
      <c r="N91" s="283" t="str">
        <f t="array" ref="N91">if(C91=0,"",INDEX('Biaya Administrasi'!E:E, MATCH(I91, 'Biaya Administrasi'!B:B, 0)))</f>
        <v/>
      </c>
      <c r="O91" s="284" t="str">
        <f t="shared" si="2"/>
        <v/>
      </c>
      <c r="P91" s="285" t="str">
        <f t="array" ref="P91">if(J91=0,"",INDEX('Biaya Gratis Ongkir Xtra'!D:D, MATCH(J91, 'Biaya Gratis Ongkir Xtra'!C:C, 0)))</f>
        <v/>
      </c>
      <c r="Q91" s="286" t="str">
        <f t="shared" si="3"/>
        <v/>
      </c>
      <c r="R91" s="287" t="str">
        <f t="array" ref="R91">if(K91=0,"",INDEX('Biaya Gratis Ongkir Xtra'!$C$7:$C$10, MATCH(K91, 'Biaya Gratis Ongkir Xtra'!$B$7:$B$10, 0)))</f>
        <v/>
      </c>
      <c r="S91" s="288" t="str">
        <f t="shared" si="4"/>
        <v/>
      </c>
      <c r="T91" s="273" t="str">
        <f t="shared" si="13"/>
        <v/>
      </c>
      <c r="U91" s="287" t="str">
        <f t="array" ref="U91">if(C91=0,"",INDEX('Biaya Gratis Ongkir Xtra'!$C$3:$C$4, MATCH(L91, 'Biaya Gratis Ongkir Xtra'!$B$3:$B$4, 0)))</f>
        <v/>
      </c>
      <c r="V91" s="288" t="str">
        <f t="shared" si="6"/>
        <v/>
      </c>
      <c r="W91" s="264"/>
      <c r="X91" s="289" t="str">
        <f t="shared" si="7"/>
        <v/>
      </c>
      <c r="Y91" s="290" t="str">
        <f t="shared" si="8"/>
        <v/>
      </c>
      <c r="Z91" s="291" t="str">
        <f t="shared" si="9"/>
        <v/>
      </c>
      <c r="AA91" s="289" t="str">
        <f t="shared" si="10"/>
        <v/>
      </c>
      <c r="AB91" s="291" t="str">
        <f t="shared" si="11"/>
        <v/>
      </c>
      <c r="AC91" s="292" t="str">
        <f t="shared" si="12"/>
        <v/>
      </c>
      <c r="AD91" s="281"/>
      <c r="AE91" s="22"/>
    </row>
    <row r="92">
      <c r="A92" s="264"/>
      <c r="B92" s="267"/>
      <c r="C92" s="265"/>
      <c r="D92" s="265"/>
      <c r="E92" s="265"/>
      <c r="F92" s="266"/>
      <c r="G92" s="267" t="str">
        <f t="shared" si="1"/>
        <v/>
      </c>
      <c r="H92" s="264"/>
      <c r="I92" s="282"/>
      <c r="J92" s="282"/>
      <c r="K92" s="282"/>
      <c r="L92" s="282"/>
      <c r="M92" s="269"/>
      <c r="N92" s="283" t="str">
        <f t="array" ref="N92">if(C92=0,"",INDEX('Biaya Administrasi'!E:E, MATCH(I92, 'Biaya Administrasi'!B:B, 0)))</f>
        <v/>
      </c>
      <c r="O92" s="284" t="str">
        <f t="shared" si="2"/>
        <v/>
      </c>
      <c r="P92" s="285" t="str">
        <f t="array" ref="P92">if(J92=0,"",INDEX('Biaya Gratis Ongkir Xtra'!D:D, MATCH(J92, 'Biaya Gratis Ongkir Xtra'!C:C, 0)))</f>
        <v/>
      </c>
      <c r="Q92" s="286" t="str">
        <f t="shared" si="3"/>
        <v/>
      </c>
      <c r="R92" s="287" t="str">
        <f t="array" ref="R92">if(K92=0,"",INDEX('Biaya Gratis Ongkir Xtra'!$C$7:$C$10, MATCH(K92, 'Biaya Gratis Ongkir Xtra'!$B$7:$B$10, 0)))</f>
        <v/>
      </c>
      <c r="S92" s="288" t="str">
        <f t="shared" si="4"/>
        <v/>
      </c>
      <c r="T92" s="273" t="str">
        <f t="shared" si="13"/>
        <v/>
      </c>
      <c r="U92" s="287" t="str">
        <f t="array" ref="U92">if(C92=0,"",INDEX('Biaya Gratis Ongkir Xtra'!$C$3:$C$4, MATCH(L92, 'Biaya Gratis Ongkir Xtra'!$B$3:$B$4, 0)))</f>
        <v/>
      </c>
      <c r="V92" s="288" t="str">
        <f t="shared" si="6"/>
        <v/>
      </c>
      <c r="W92" s="264"/>
      <c r="X92" s="289" t="str">
        <f t="shared" si="7"/>
        <v/>
      </c>
      <c r="Y92" s="290" t="str">
        <f t="shared" si="8"/>
        <v/>
      </c>
      <c r="Z92" s="291" t="str">
        <f t="shared" si="9"/>
        <v/>
      </c>
      <c r="AA92" s="289" t="str">
        <f t="shared" si="10"/>
        <v/>
      </c>
      <c r="AB92" s="291" t="str">
        <f t="shared" si="11"/>
        <v/>
      </c>
      <c r="AC92" s="292" t="str">
        <f t="shared" si="12"/>
        <v/>
      </c>
      <c r="AD92" s="281"/>
      <c r="AE92" s="22"/>
    </row>
    <row r="93">
      <c r="A93" s="264"/>
      <c r="B93" s="267"/>
      <c r="C93" s="265"/>
      <c r="D93" s="265"/>
      <c r="E93" s="265"/>
      <c r="F93" s="266"/>
      <c r="G93" s="267" t="str">
        <f t="shared" si="1"/>
        <v/>
      </c>
      <c r="H93" s="264"/>
      <c r="I93" s="282"/>
      <c r="J93" s="282"/>
      <c r="K93" s="282"/>
      <c r="L93" s="282"/>
      <c r="M93" s="269"/>
      <c r="N93" s="283" t="str">
        <f t="array" ref="N93">if(C93=0,"",INDEX('Biaya Administrasi'!E:E, MATCH(I93, 'Biaya Administrasi'!B:B, 0)))</f>
        <v/>
      </c>
      <c r="O93" s="284" t="str">
        <f t="shared" si="2"/>
        <v/>
      </c>
      <c r="P93" s="285" t="str">
        <f t="array" ref="P93">if(J93=0,"",INDEX('Biaya Gratis Ongkir Xtra'!D:D, MATCH(J93, 'Biaya Gratis Ongkir Xtra'!C:C, 0)))</f>
        <v/>
      </c>
      <c r="Q93" s="286" t="str">
        <f t="shared" si="3"/>
        <v/>
      </c>
      <c r="R93" s="287" t="str">
        <f t="array" ref="R93">if(K93=0,"",INDEX('Biaya Gratis Ongkir Xtra'!$C$7:$C$10, MATCH(K93, 'Biaya Gratis Ongkir Xtra'!$B$7:$B$10, 0)))</f>
        <v/>
      </c>
      <c r="S93" s="288" t="str">
        <f t="shared" si="4"/>
        <v/>
      </c>
      <c r="T93" s="273" t="str">
        <f t="shared" si="13"/>
        <v/>
      </c>
      <c r="U93" s="287" t="str">
        <f t="array" ref="U93">if(C93=0,"",INDEX('Biaya Gratis Ongkir Xtra'!$C$3:$C$4, MATCH(L93, 'Biaya Gratis Ongkir Xtra'!$B$3:$B$4, 0)))</f>
        <v/>
      </c>
      <c r="V93" s="288" t="str">
        <f t="shared" si="6"/>
        <v/>
      </c>
      <c r="W93" s="264"/>
      <c r="X93" s="289" t="str">
        <f t="shared" si="7"/>
        <v/>
      </c>
      <c r="Y93" s="290" t="str">
        <f t="shared" si="8"/>
        <v/>
      </c>
      <c r="Z93" s="291" t="str">
        <f t="shared" si="9"/>
        <v/>
      </c>
      <c r="AA93" s="289" t="str">
        <f t="shared" si="10"/>
        <v/>
      </c>
      <c r="AB93" s="291" t="str">
        <f t="shared" si="11"/>
        <v/>
      </c>
      <c r="AC93" s="292" t="str">
        <f t="shared" si="12"/>
        <v/>
      </c>
      <c r="AD93" s="281"/>
      <c r="AE93" s="22"/>
    </row>
    <row r="94">
      <c r="A94" s="264"/>
      <c r="B94" s="267"/>
      <c r="C94" s="265"/>
      <c r="D94" s="265"/>
      <c r="E94" s="265"/>
      <c r="F94" s="266"/>
      <c r="G94" s="267" t="str">
        <f t="shared" si="1"/>
        <v/>
      </c>
      <c r="H94" s="264"/>
      <c r="I94" s="282"/>
      <c r="J94" s="282"/>
      <c r="K94" s="282"/>
      <c r="L94" s="282"/>
      <c r="M94" s="269"/>
      <c r="N94" s="283" t="str">
        <f t="array" ref="N94">if(C94=0,"",INDEX('Biaya Administrasi'!E:E, MATCH(I94, 'Biaya Administrasi'!B:B, 0)))</f>
        <v/>
      </c>
      <c r="O94" s="284" t="str">
        <f t="shared" si="2"/>
        <v/>
      </c>
      <c r="P94" s="285" t="str">
        <f t="array" ref="P94">if(J94=0,"",INDEX('Biaya Gratis Ongkir Xtra'!D:D, MATCH(J94, 'Biaya Gratis Ongkir Xtra'!C:C, 0)))</f>
        <v/>
      </c>
      <c r="Q94" s="286" t="str">
        <f t="shared" si="3"/>
        <v/>
      </c>
      <c r="R94" s="287" t="str">
        <f t="array" ref="R94">if(K94=0,"",INDEX('Biaya Gratis Ongkir Xtra'!$C$7:$C$10, MATCH(K94, 'Biaya Gratis Ongkir Xtra'!$B$7:$B$10, 0)))</f>
        <v/>
      </c>
      <c r="S94" s="288" t="str">
        <f t="shared" si="4"/>
        <v/>
      </c>
      <c r="T94" s="273" t="str">
        <f t="shared" si="13"/>
        <v/>
      </c>
      <c r="U94" s="287" t="str">
        <f t="array" ref="U94">if(C94=0,"",INDEX('Biaya Gratis Ongkir Xtra'!$C$3:$C$4, MATCH(L94, 'Biaya Gratis Ongkir Xtra'!$B$3:$B$4, 0)))</f>
        <v/>
      </c>
      <c r="V94" s="288" t="str">
        <f t="shared" si="6"/>
        <v/>
      </c>
      <c r="W94" s="264"/>
      <c r="X94" s="289" t="str">
        <f t="shared" si="7"/>
        <v/>
      </c>
      <c r="Y94" s="290" t="str">
        <f t="shared" si="8"/>
        <v/>
      </c>
      <c r="Z94" s="291" t="str">
        <f t="shared" si="9"/>
        <v/>
      </c>
      <c r="AA94" s="289" t="str">
        <f t="shared" si="10"/>
        <v/>
      </c>
      <c r="AB94" s="291" t="str">
        <f t="shared" si="11"/>
        <v/>
      </c>
      <c r="AC94" s="292" t="str">
        <f t="shared" si="12"/>
        <v/>
      </c>
      <c r="AD94" s="281"/>
      <c r="AE94" s="22"/>
    </row>
    <row r="95">
      <c r="A95" s="264"/>
      <c r="B95" s="267"/>
      <c r="C95" s="265"/>
      <c r="D95" s="265"/>
      <c r="E95" s="265"/>
      <c r="F95" s="266"/>
      <c r="G95" s="267" t="str">
        <f t="shared" si="1"/>
        <v/>
      </c>
      <c r="H95" s="264"/>
      <c r="I95" s="282"/>
      <c r="J95" s="282"/>
      <c r="K95" s="282"/>
      <c r="L95" s="282"/>
      <c r="M95" s="269"/>
      <c r="N95" s="283" t="str">
        <f t="array" ref="N95">if(C95=0,"",INDEX('Biaya Administrasi'!E:E, MATCH(I95, 'Biaya Administrasi'!B:B, 0)))</f>
        <v/>
      </c>
      <c r="O95" s="284" t="str">
        <f t="shared" si="2"/>
        <v/>
      </c>
      <c r="P95" s="285" t="str">
        <f t="array" ref="P95">if(J95=0,"",INDEX('Biaya Gratis Ongkir Xtra'!D:D, MATCH(J95, 'Biaya Gratis Ongkir Xtra'!C:C, 0)))</f>
        <v/>
      </c>
      <c r="Q95" s="286" t="str">
        <f t="shared" si="3"/>
        <v/>
      </c>
      <c r="R95" s="287" t="str">
        <f t="array" ref="R95">if(K95=0,"",INDEX('Biaya Gratis Ongkir Xtra'!$C$7:$C$10, MATCH(K95, 'Biaya Gratis Ongkir Xtra'!$B$7:$B$10, 0)))</f>
        <v/>
      </c>
      <c r="S95" s="288" t="str">
        <f t="shared" si="4"/>
        <v/>
      </c>
      <c r="T95" s="273" t="str">
        <f t="shared" si="13"/>
        <v/>
      </c>
      <c r="U95" s="287" t="str">
        <f t="array" ref="U95">if(C95=0,"",INDEX('Biaya Gratis Ongkir Xtra'!$C$3:$C$4, MATCH(L95, 'Biaya Gratis Ongkir Xtra'!$B$3:$B$4, 0)))</f>
        <v/>
      </c>
      <c r="V95" s="288" t="str">
        <f t="shared" si="6"/>
        <v/>
      </c>
      <c r="W95" s="264"/>
      <c r="X95" s="289" t="str">
        <f t="shared" si="7"/>
        <v/>
      </c>
      <c r="Y95" s="290" t="str">
        <f t="shared" si="8"/>
        <v/>
      </c>
      <c r="Z95" s="291" t="str">
        <f t="shared" si="9"/>
        <v/>
      </c>
      <c r="AA95" s="289" t="str">
        <f t="shared" si="10"/>
        <v/>
      </c>
      <c r="AB95" s="291" t="str">
        <f t="shared" si="11"/>
        <v/>
      </c>
      <c r="AC95" s="292" t="str">
        <f t="shared" si="12"/>
        <v/>
      </c>
      <c r="AD95" s="281"/>
      <c r="AE95" s="22"/>
    </row>
    <row r="96">
      <c r="A96" s="264"/>
      <c r="B96" s="267"/>
      <c r="C96" s="265"/>
      <c r="D96" s="265"/>
      <c r="E96" s="265"/>
      <c r="F96" s="266"/>
      <c r="G96" s="267" t="str">
        <f t="shared" si="1"/>
        <v/>
      </c>
      <c r="H96" s="264"/>
      <c r="I96" s="282"/>
      <c r="J96" s="282"/>
      <c r="K96" s="282"/>
      <c r="L96" s="282"/>
      <c r="M96" s="269"/>
      <c r="N96" s="283" t="str">
        <f t="array" ref="N96">if(C96=0,"",INDEX('Biaya Administrasi'!E:E, MATCH(I96, 'Biaya Administrasi'!B:B, 0)))</f>
        <v/>
      </c>
      <c r="O96" s="284" t="str">
        <f t="shared" si="2"/>
        <v/>
      </c>
      <c r="P96" s="285" t="str">
        <f t="array" ref="P96">if(J96=0,"",INDEX('Biaya Gratis Ongkir Xtra'!D:D, MATCH(J96, 'Biaya Gratis Ongkir Xtra'!C:C, 0)))</f>
        <v/>
      </c>
      <c r="Q96" s="286" t="str">
        <f t="shared" si="3"/>
        <v/>
      </c>
      <c r="R96" s="287" t="str">
        <f t="array" ref="R96">if(K96=0,"",INDEX('Biaya Gratis Ongkir Xtra'!$C$7:$C$10, MATCH(K96, 'Biaya Gratis Ongkir Xtra'!$B$7:$B$10, 0)))</f>
        <v/>
      </c>
      <c r="S96" s="288" t="str">
        <f t="shared" si="4"/>
        <v/>
      </c>
      <c r="T96" s="273" t="str">
        <f t="shared" si="13"/>
        <v/>
      </c>
      <c r="U96" s="287" t="str">
        <f t="array" ref="U96">if(C96=0,"",INDEX('Biaya Gratis Ongkir Xtra'!$C$3:$C$4, MATCH(L96, 'Biaya Gratis Ongkir Xtra'!$B$3:$B$4, 0)))</f>
        <v/>
      </c>
      <c r="V96" s="288" t="str">
        <f t="shared" si="6"/>
        <v/>
      </c>
      <c r="W96" s="264"/>
      <c r="X96" s="289" t="str">
        <f t="shared" si="7"/>
        <v/>
      </c>
      <c r="Y96" s="290" t="str">
        <f t="shared" si="8"/>
        <v/>
      </c>
      <c r="Z96" s="291" t="str">
        <f t="shared" si="9"/>
        <v/>
      </c>
      <c r="AA96" s="289" t="str">
        <f t="shared" si="10"/>
        <v/>
      </c>
      <c r="AB96" s="291" t="str">
        <f t="shared" si="11"/>
        <v/>
      </c>
      <c r="AC96" s="292" t="str">
        <f t="shared" si="12"/>
        <v/>
      </c>
      <c r="AD96" s="281"/>
      <c r="AE96" s="22"/>
    </row>
    <row r="97">
      <c r="A97" s="264"/>
      <c r="B97" s="267"/>
      <c r="C97" s="265"/>
      <c r="D97" s="265"/>
      <c r="E97" s="265"/>
      <c r="F97" s="266"/>
      <c r="G97" s="267" t="str">
        <f t="shared" si="1"/>
        <v/>
      </c>
      <c r="H97" s="264"/>
      <c r="I97" s="282"/>
      <c r="J97" s="282"/>
      <c r="K97" s="282"/>
      <c r="L97" s="282"/>
      <c r="M97" s="269"/>
      <c r="N97" s="283" t="str">
        <f t="array" ref="N97">if(C97=0,"",INDEX('Biaya Administrasi'!E:E, MATCH(I97, 'Biaya Administrasi'!B:B, 0)))</f>
        <v/>
      </c>
      <c r="O97" s="284" t="str">
        <f t="shared" si="2"/>
        <v/>
      </c>
      <c r="P97" s="285" t="str">
        <f t="array" ref="P97">if(J97=0,"",INDEX('Biaya Gratis Ongkir Xtra'!D:D, MATCH(J97, 'Biaya Gratis Ongkir Xtra'!C:C, 0)))</f>
        <v/>
      </c>
      <c r="Q97" s="286" t="str">
        <f t="shared" si="3"/>
        <v/>
      </c>
      <c r="R97" s="287" t="str">
        <f t="array" ref="R97">if(K97=0,"",INDEX('Biaya Gratis Ongkir Xtra'!$C$7:$C$10, MATCH(K97, 'Biaya Gratis Ongkir Xtra'!$B$7:$B$10, 0)))</f>
        <v/>
      </c>
      <c r="S97" s="288" t="str">
        <f t="shared" si="4"/>
        <v/>
      </c>
      <c r="T97" s="273" t="str">
        <f t="shared" si="13"/>
        <v/>
      </c>
      <c r="U97" s="287" t="str">
        <f t="array" ref="U97">if(C97=0,"",INDEX('Biaya Gratis Ongkir Xtra'!$C$3:$C$4, MATCH(L97, 'Biaya Gratis Ongkir Xtra'!$B$3:$B$4, 0)))</f>
        <v/>
      </c>
      <c r="V97" s="288" t="str">
        <f t="shared" si="6"/>
        <v/>
      </c>
      <c r="W97" s="264"/>
      <c r="X97" s="289" t="str">
        <f t="shared" si="7"/>
        <v/>
      </c>
      <c r="Y97" s="290" t="str">
        <f t="shared" si="8"/>
        <v/>
      </c>
      <c r="Z97" s="291" t="str">
        <f t="shared" si="9"/>
        <v/>
      </c>
      <c r="AA97" s="289" t="str">
        <f t="shared" si="10"/>
        <v/>
      </c>
      <c r="AB97" s="291" t="str">
        <f t="shared" si="11"/>
        <v/>
      </c>
      <c r="AC97" s="292" t="str">
        <f t="shared" si="12"/>
        <v/>
      </c>
      <c r="AD97" s="281"/>
      <c r="AE97" s="22"/>
    </row>
    <row r="98">
      <c r="A98" s="264"/>
      <c r="B98" s="267"/>
      <c r="C98" s="265"/>
      <c r="D98" s="265"/>
      <c r="E98" s="265"/>
      <c r="F98" s="266"/>
      <c r="G98" s="267" t="str">
        <f t="shared" si="1"/>
        <v/>
      </c>
      <c r="H98" s="264"/>
      <c r="I98" s="282"/>
      <c r="J98" s="282"/>
      <c r="K98" s="282"/>
      <c r="L98" s="282"/>
      <c r="M98" s="269"/>
      <c r="N98" s="283" t="str">
        <f t="array" ref="N98">if(C98=0,"",INDEX('Biaya Administrasi'!E:E, MATCH(I98, 'Biaya Administrasi'!B:B, 0)))</f>
        <v/>
      </c>
      <c r="O98" s="284" t="str">
        <f t="shared" si="2"/>
        <v/>
      </c>
      <c r="P98" s="285" t="str">
        <f t="array" ref="P98">if(J98=0,"",INDEX('Biaya Gratis Ongkir Xtra'!D:D, MATCH(J98, 'Biaya Gratis Ongkir Xtra'!C:C, 0)))</f>
        <v/>
      </c>
      <c r="Q98" s="286" t="str">
        <f t="shared" si="3"/>
        <v/>
      </c>
      <c r="R98" s="287" t="str">
        <f t="array" ref="R98">if(K98=0,"",INDEX('Biaya Gratis Ongkir Xtra'!$C$7:$C$10, MATCH(K98, 'Biaya Gratis Ongkir Xtra'!$B$7:$B$10, 0)))</f>
        <v/>
      </c>
      <c r="S98" s="288" t="str">
        <f t="shared" si="4"/>
        <v/>
      </c>
      <c r="T98" s="273" t="str">
        <f t="shared" si="13"/>
        <v/>
      </c>
      <c r="U98" s="287" t="str">
        <f t="array" ref="U98">if(C98=0,"",INDEX('Biaya Gratis Ongkir Xtra'!$C$3:$C$4, MATCH(L98, 'Biaya Gratis Ongkir Xtra'!$B$3:$B$4, 0)))</f>
        <v/>
      </c>
      <c r="V98" s="288" t="str">
        <f t="shared" si="6"/>
        <v/>
      </c>
      <c r="W98" s="264"/>
      <c r="X98" s="289" t="str">
        <f t="shared" si="7"/>
        <v/>
      </c>
      <c r="Y98" s="290" t="str">
        <f t="shared" si="8"/>
        <v/>
      </c>
      <c r="Z98" s="291" t="str">
        <f t="shared" si="9"/>
        <v/>
      </c>
      <c r="AA98" s="289" t="str">
        <f t="shared" si="10"/>
        <v/>
      </c>
      <c r="AB98" s="291" t="str">
        <f t="shared" si="11"/>
        <v/>
      </c>
      <c r="AC98" s="292" t="str">
        <f t="shared" si="12"/>
        <v/>
      </c>
      <c r="AD98" s="281"/>
      <c r="AE98" s="22"/>
    </row>
    <row r="99">
      <c r="A99" s="264"/>
      <c r="B99" s="267"/>
      <c r="C99" s="265"/>
      <c r="D99" s="265"/>
      <c r="E99" s="265"/>
      <c r="F99" s="266"/>
      <c r="G99" s="267" t="str">
        <f t="shared" si="1"/>
        <v/>
      </c>
      <c r="H99" s="264"/>
      <c r="I99" s="282"/>
      <c r="J99" s="282"/>
      <c r="K99" s="282"/>
      <c r="L99" s="282"/>
      <c r="M99" s="269"/>
      <c r="N99" s="283" t="str">
        <f t="array" ref="N99">if(C99=0,"",INDEX('Biaya Administrasi'!E:E, MATCH(I99, 'Biaya Administrasi'!B:B, 0)))</f>
        <v/>
      </c>
      <c r="O99" s="284" t="str">
        <f t="shared" si="2"/>
        <v/>
      </c>
      <c r="P99" s="285" t="str">
        <f t="array" ref="P99">if(J99=0,"",INDEX('Biaya Gratis Ongkir Xtra'!D:D, MATCH(J99, 'Biaya Gratis Ongkir Xtra'!C:C, 0)))</f>
        <v/>
      </c>
      <c r="Q99" s="286" t="str">
        <f t="shared" si="3"/>
        <v/>
      </c>
      <c r="R99" s="287" t="str">
        <f t="array" ref="R99">if(K99=0,"",INDEX('Biaya Gratis Ongkir Xtra'!$C$7:$C$10, MATCH(K99, 'Biaya Gratis Ongkir Xtra'!$B$7:$B$10, 0)))</f>
        <v/>
      </c>
      <c r="S99" s="288" t="str">
        <f t="shared" si="4"/>
        <v/>
      </c>
      <c r="T99" s="273" t="str">
        <f t="shared" si="13"/>
        <v/>
      </c>
      <c r="U99" s="287" t="str">
        <f t="array" ref="U99">if(C99=0,"",INDEX('Biaya Gratis Ongkir Xtra'!$C$3:$C$4, MATCH(L99, 'Biaya Gratis Ongkir Xtra'!$B$3:$B$4, 0)))</f>
        <v/>
      </c>
      <c r="V99" s="288" t="str">
        <f t="shared" si="6"/>
        <v/>
      </c>
      <c r="W99" s="264"/>
      <c r="X99" s="289" t="str">
        <f t="shared" si="7"/>
        <v/>
      </c>
      <c r="Y99" s="290" t="str">
        <f t="shared" si="8"/>
        <v/>
      </c>
      <c r="Z99" s="291" t="str">
        <f t="shared" si="9"/>
        <v/>
      </c>
      <c r="AA99" s="289" t="str">
        <f t="shared" si="10"/>
        <v/>
      </c>
      <c r="AB99" s="291" t="str">
        <f t="shared" si="11"/>
        <v/>
      </c>
      <c r="AC99" s="292" t="str">
        <f t="shared" si="12"/>
        <v/>
      </c>
      <c r="AD99" s="281"/>
      <c r="AE99" s="22"/>
    </row>
    <row r="100">
      <c r="A100" s="264"/>
      <c r="B100" s="267"/>
      <c r="C100" s="265"/>
      <c r="D100" s="265"/>
      <c r="E100" s="265"/>
      <c r="F100" s="266"/>
      <c r="G100" s="267" t="str">
        <f t="shared" si="1"/>
        <v/>
      </c>
      <c r="H100" s="264"/>
      <c r="I100" s="282"/>
      <c r="J100" s="282"/>
      <c r="K100" s="282"/>
      <c r="L100" s="282"/>
      <c r="M100" s="269"/>
      <c r="N100" s="283" t="str">
        <f t="array" ref="N100">if(C100=0,"",INDEX('Biaya Administrasi'!E:E, MATCH(I100, 'Biaya Administrasi'!B:B, 0)))</f>
        <v/>
      </c>
      <c r="O100" s="284" t="str">
        <f t="shared" si="2"/>
        <v/>
      </c>
      <c r="P100" s="285" t="str">
        <f t="array" ref="P100">if(J100=0,"",INDEX('Biaya Gratis Ongkir Xtra'!D:D, MATCH(J100, 'Biaya Gratis Ongkir Xtra'!C:C, 0)))</f>
        <v/>
      </c>
      <c r="Q100" s="286" t="str">
        <f t="shared" si="3"/>
        <v/>
      </c>
      <c r="R100" s="287" t="str">
        <f t="array" ref="R100">if(K100=0,"",INDEX('Biaya Gratis Ongkir Xtra'!$C$7:$C$10, MATCH(K100, 'Biaya Gratis Ongkir Xtra'!$B$7:$B$10, 0)))</f>
        <v/>
      </c>
      <c r="S100" s="288" t="str">
        <f t="shared" si="4"/>
        <v/>
      </c>
      <c r="T100" s="273" t="str">
        <f t="shared" si="13"/>
        <v/>
      </c>
      <c r="U100" s="287" t="str">
        <f t="array" ref="U100">if(C100=0,"",INDEX('Biaya Gratis Ongkir Xtra'!$C$3:$C$4, MATCH(L100, 'Biaya Gratis Ongkir Xtra'!$B$3:$B$4, 0)))</f>
        <v/>
      </c>
      <c r="V100" s="288" t="str">
        <f t="shared" si="6"/>
        <v/>
      </c>
      <c r="W100" s="264"/>
      <c r="X100" s="289" t="str">
        <f t="shared" si="7"/>
        <v/>
      </c>
      <c r="Y100" s="290" t="str">
        <f t="shared" si="8"/>
        <v/>
      </c>
      <c r="Z100" s="291" t="str">
        <f t="shared" si="9"/>
        <v/>
      </c>
      <c r="AA100" s="289" t="str">
        <f t="shared" si="10"/>
        <v/>
      </c>
      <c r="AB100" s="291" t="str">
        <f t="shared" si="11"/>
        <v/>
      </c>
      <c r="AC100" s="292" t="str">
        <f t="shared" si="12"/>
        <v/>
      </c>
      <c r="AD100" s="281"/>
      <c r="AE100" s="22"/>
    </row>
    <row r="101">
      <c r="A101" s="264"/>
      <c r="B101" s="267"/>
      <c r="C101" s="265"/>
      <c r="D101" s="265"/>
      <c r="E101" s="265"/>
      <c r="F101" s="266"/>
      <c r="G101" s="267" t="str">
        <f t="shared" si="1"/>
        <v/>
      </c>
      <c r="H101" s="264"/>
      <c r="I101" s="282"/>
      <c r="J101" s="282"/>
      <c r="K101" s="282"/>
      <c r="L101" s="282"/>
      <c r="M101" s="269"/>
      <c r="N101" s="283" t="str">
        <f t="array" ref="N101">if(C101=0,"",INDEX('Biaya Administrasi'!E:E, MATCH(I101, 'Biaya Administrasi'!B:B, 0)))</f>
        <v/>
      </c>
      <c r="O101" s="284" t="str">
        <f t="shared" si="2"/>
        <v/>
      </c>
      <c r="P101" s="285" t="str">
        <f t="array" ref="P101">if(J101=0,"",INDEX('Biaya Gratis Ongkir Xtra'!D:D, MATCH(J101, 'Biaya Gratis Ongkir Xtra'!C:C, 0)))</f>
        <v/>
      </c>
      <c r="Q101" s="286" t="str">
        <f t="shared" si="3"/>
        <v/>
      </c>
      <c r="R101" s="287" t="str">
        <f t="array" ref="R101">if(K101=0,"",INDEX('Biaya Gratis Ongkir Xtra'!$C$7:$C$10, MATCH(K101, 'Biaya Gratis Ongkir Xtra'!$B$7:$B$10, 0)))</f>
        <v/>
      </c>
      <c r="S101" s="288" t="str">
        <f t="shared" si="4"/>
        <v/>
      </c>
      <c r="T101" s="273" t="str">
        <f t="shared" si="13"/>
        <v/>
      </c>
      <c r="U101" s="287" t="str">
        <f t="array" ref="U101">if(C101=0,"",INDEX('Biaya Gratis Ongkir Xtra'!$C$3:$C$4, MATCH(L101, 'Biaya Gratis Ongkir Xtra'!$B$3:$B$4, 0)))</f>
        <v/>
      </c>
      <c r="V101" s="288" t="str">
        <f t="shared" si="6"/>
        <v/>
      </c>
      <c r="W101" s="264"/>
      <c r="X101" s="289" t="str">
        <f t="shared" si="7"/>
        <v/>
      </c>
      <c r="Y101" s="290" t="str">
        <f t="shared" si="8"/>
        <v/>
      </c>
      <c r="Z101" s="291" t="str">
        <f t="shared" si="9"/>
        <v/>
      </c>
      <c r="AA101" s="289" t="str">
        <f t="shared" si="10"/>
        <v/>
      </c>
      <c r="AB101" s="291" t="str">
        <f t="shared" si="11"/>
        <v/>
      </c>
      <c r="AC101" s="292" t="str">
        <f t="shared" si="12"/>
        <v/>
      </c>
      <c r="AD101" s="281"/>
      <c r="AE101" s="22"/>
    </row>
    <row r="102">
      <c r="A102" s="264"/>
      <c r="B102" s="267"/>
      <c r="C102" s="265"/>
      <c r="D102" s="265"/>
      <c r="E102" s="265"/>
      <c r="F102" s="266"/>
      <c r="G102" s="267" t="str">
        <f t="shared" si="1"/>
        <v/>
      </c>
      <c r="H102" s="264"/>
      <c r="I102" s="282"/>
      <c r="J102" s="282"/>
      <c r="K102" s="282"/>
      <c r="L102" s="282"/>
      <c r="M102" s="269"/>
      <c r="N102" s="283" t="str">
        <f t="array" ref="N102">if(C102=0,"",INDEX('Biaya Administrasi'!E:E, MATCH(I102, 'Biaya Administrasi'!B:B, 0)))</f>
        <v/>
      </c>
      <c r="O102" s="284" t="str">
        <f t="shared" si="2"/>
        <v/>
      </c>
      <c r="P102" s="285" t="str">
        <f t="array" ref="P102">if(J102=0,"",INDEX('Biaya Gratis Ongkir Xtra'!D:D, MATCH(J102, 'Biaya Gratis Ongkir Xtra'!C:C, 0)))</f>
        <v/>
      </c>
      <c r="Q102" s="286" t="str">
        <f t="shared" si="3"/>
        <v/>
      </c>
      <c r="R102" s="287" t="str">
        <f t="array" ref="R102">if(K102=0,"",INDEX('Biaya Gratis Ongkir Xtra'!$C$7:$C$10, MATCH(K102, 'Biaya Gratis Ongkir Xtra'!$B$7:$B$10, 0)))</f>
        <v/>
      </c>
      <c r="S102" s="288" t="str">
        <f t="shared" si="4"/>
        <v/>
      </c>
      <c r="T102" s="273" t="str">
        <f t="shared" si="13"/>
        <v/>
      </c>
      <c r="U102" s="287" t="str">
        <f t="array" ref="U102">if(C102=0,"",INDEX('Biaya Gratis Ongkir Xtra'!$C$3:$C$4, MATCH(L102, 'Biaya Gratis Ongkir Xtra'!$B$3:$B$4, 0)))</f>
        <v/>
      </c>
      <c r="V102" s="288" t="str">
        <f t="shared" si="6"/>
        <v/>
      </c>
      <c r="W102" s="264"/>
      <c r="X102" s="289" t="str">
        <f t="shared" si="7"/>
        <v/>
      </c>
      <c r="Y102" s="290" t="str">
        <f t="shared" si="8"/>
        <v/>
      </c>
      <c r="Z102" s="291" t="str">
        <f t="shared" si="9"/>
        <v/>
      </c>
      <c r="AA102" s="289" t="str">
        <f t="shared" si="10"/>
        <v/>
      </c>
      <c r="AB102" s="291" t="str">
        <f t="shared" si="11"/>
        <v/>
      </c>
      <c r="AC102" s="292" t="str">
        <f t="shared" si="12"/>
        <v/>
      </c>
      <c r="AD102" s="281"/>
      <c r="AE102" s="22"/>
    </row>
    <row r="103">
      <c r="A103" s="264"/>
      <c r="B103" s="267"/>
      <c r="C103" s="265"/>
      <c r="D103" s="265"/>
      <c r="E103" s="265"/>
      <c r="F103" s="266"/>
      <c r="G103" s="267" t="str">
        <f t="shared" si="1"/>
        <v/>
      </c>
      <c r="H103" s="264"/>
      <c r="I103" s="282"/>
      <c r="J103" s="282"/>
      <c r="K103" s="282"/>
      <c r="L103" s="282"/>
      <c r="M103" s="269"/>
      <c r="N103" s="283" t="str">
        <f t="array" ref="N103">if(C103=0,"",INDEX('Biaya Administrasi'!E:E, MATCH(I103, 'Biaya Administrasi'!B:B, 0)))</f>
        <v/>
      </c>
      <c r="O103" s="284" t="str">
        <f t="shared" si="2"/>
        <v/>
      </c>
      <c r="P103" s="285" t="str">
        <f t="array" ref="P103">if(J103=0,"",INDEX('Biaya Gratis Ongkir Xtra'!D:D, MATCH(J103, 'Biaya Gratis Ongkir Xtra'!C:C, 0)))</f>
        <v/>
      </c>
      <c r="Q103" s="286" t="str">
        <f t="shared" si="3"/>
        <v/>
      </c>
      <c r="R103" s="287" t="str">
        <f t="array" ref="R103">if(K103=0,"",INDEX('Biaya Gratis Ongkir Xtra'!$C$7:$C$10, MATCH(K103, 'Biaya Gratis Ongkir Xtra'!$B$7:$B$10, 0)))</f>
        <v/>
      </c>
      <c r="S103" s="288" t="str">
        <f t="shared" si="4"/>
        <v/>
      </c>
      <c r="T103" s="273" t="str">
        <f t="shared" si="13"/>
        <v/>
      </c>
      <c r="U103" s="287" t="str">
        <f t="array" ref="U103">if(C103=0,"",INDEX('Biaya Gratis Ongkir Xtra'!$C$3:$C$4, MATCH(L103, 'Biaya Gratis Ongkir Xtra'!$B$3:$B$4, 0)))</f>
        <v/>
      </c>
      <c r="V103" s="288" t="str">
        <f t="shared" si="6"/>
        <v/>
      </c>
      <c r="W103" s="264"/>
      <c r="X103" s="289" t="str">
        <f t="shared" si="7"/>
        <v/>
      </c>
      <c r="Y103" s="290" t="str">
        <f t="shared" si="8"/>
        <v/>
      </c>
      <c r="Z103" s="291" t="str">
        <f t="shared" si="9"/>
        <v/>
      </c>
      <c r="AA103" s="289" t="str">
        <f t="shared" si="10"/>
        <v/>
      </c>
      <c r="AB103" s="291" t="str">
        <f t="shared" si="11"/>
        <v/>
      </c>
      <c r="AC103" s="292" t="str">
        <f t="shared" si="12"/>
        <v/>
      </c>
      <c r="AD103" s="281"/>
      <c r="AE103" s="22"/>
    </row>
    <row r="104">
      <c r="A104" s="264"/>
      <c r="B104" s="267"/>
      <c r="C104" s="265"/>
      <c r="D104" s="265"/>
      <c r="E104" s="265"/>
      <c r="F104" s="266"/>
      <c r="G104" s="267" t="str">
        <f t="shared" si="1"/>
        <v/>
      </c>
      <c r="H104" s="264"/>
      <c r="I104" s="282"/>
      <c r="J104" s="282"/>
      <c r="K104" s="282"/>
      <c r="L104" s="282"/>
      <c r="M104" s="269"/>
      <c r="N104" s="283" t="str">
        <f t="array" ref="N104">if(C104=0,"",INDEX('Biaya Administrasi'!E:E, MATCH(I104, 'Biaya Administrasi'!B:B, 0)))</f>
        <v/>
      </c>
      <c r="O104" s="284" t="str">
        <f t="shared" si="2"/>
        <v/>
      </c>
      <c r="P104" s="285" t="str">
        <f t="array" ref="P104">if(J104=0,"",INDEX('Biaya Gratis Ongkir Xtra'!D:D, MATCH(J104, 'Biaya Gratis Ongkir Xtra'!C:C, 0)))</f>
        <v/>
      </c>
      <c r="Q104" s="286" t="str">
        <f t="shared" si="3"/>
        <v/>
      </c>
      <c r="R104" s="287" t="str">
        <f t="array" ref="R104">if(K104=0,"",INDEX('Biaya Gratis Ongkir Xtra'!$C$7:$C$10, MATCH(K104, 'Biaya Gratis Ongkir Xtra'!$B$7:$B$10, 0)))</f>
        <v/>
      </c>
      <c r="S104" s="288" t="str">
        <f t="shared" si="4"/>
        <v/>
      </c>
      <c r="T104" s="273" t="str">
        <f t="shared" si="13"/>
        <v/>
      </c>
      <c r="U104" s="287" t="str">
        <f t="array" ref="U104">if(C104=0,"",INDEX('Biaya Gratis Ongkir Xtra'!$C$3:$C$4, MATCH(L104, 'Biaya Gratis Ongkir Xtra'!$B$3:$B$4, 0)))</f>
        <v/>
      </c>
      <c r="V104" s="288" t="str">
        <f t="shared" si="6"/>
        <v/>
      </c>
      <c r="W104" s="264"/>
      <c r="X104" s="289" t="str">
        <f t="shared" si="7"/>
        <v/>
      </c>
      <c r="Y104" s="290" t="str">
        <f t="shared" si="8"/>
        <v/>
      </c>
      <c r="Z104" s="291" t="str">
        <f t="shared" si="9"/>
        <v/>
      </c>
      <c r="AA104" s="289" t="str">
        <f t="shared" si="10"/>
        <v/>
      </c>
      <c r="AB104" s="291" t="str">
        <f t="shared" si="11"/>
        <v/>
      </c>
      <c r="AC104" s="292" t="str">
        <f t="shared" si="12"/>
        <v/>
      </c>
      <c r="AD104" s="281"/>
      <c r="AE104" s="22"/>
    </row>
    <row r="105">
      <c r="A105" s="264"/>
      <c r="B105" s="267"/>
      <c r="C105" s="265"/>
      <c r="D105" s="265"/>
      <c r="E105" s="265"/>
      <c r="F105" s="266"/>
      <c r="G105" s="267" t="str">
        <f t="shared" si="1"/>
        <v/>
      </c>
      <c r="H105" s="264"/>
      <c r="I105" s="282"/>
      <c r="J105" s="282"/>
      <c r="K105" s="282"/>
      <c r="L105" s="282"/>
      <c r="M105" s="269"/>
      <c r="N105" s="283" t="str">
        <f t="array" ref="N105">if(C105=0,"",INDEX('Biaya Administrasi'!E:E, MATCH(I105, 'Biaya Administrasi'!B:B, 0)))</f>
        <v/>
      </c>
      <c r="O105" s="284" t="str">
        <f t="shared" si="2"/>
        <v/>
      </c>
      <c r="P105" s="285" t="str">
        <f t="array" ref="P105">if(J105=0,"",INDEX('Biaya Gratis Ongkir Xtra'!D:D, MATCH(J105, 'Biaya Gratis Ongkir Xtra'!C:C, 0)))</f>
        <v/>
      </c>
      <c r="Q105" s="286" t="str">
        <f t="shared" si="3"/>
        <v/>
      </c>
      <c r="R105" s="287" t="str">
        <f t="array" ref="R105">if(K105=0,"",INDEX('Biaya Gratis Ongkir Xtra'!$C$7:$C$10, MATCH(K105, 'Biaya Gratis Ongkir Xtra'!$B$7:$B$10, 0)))</f>
        <v/>
      </c>
      <c r="S105" s="288" t="str">
        <f t="shared" si="4"/>
        <v/>
      </c>
      <c r="T105" s="273" t="str">
        <f t="shared" si="13"/>
        <v/>
      </c>
      <c r="U105" s="287" t="str">
        <f t="array" ref="U105">if(C105=0,"",INDEX('Biaya Gratis Ongkir Xtra'!$C$3:$C$4, MATCH(L105, 'Biaya Gratis Ongkir Xtra'!$B$3:$B$4, 0)))</f>
        <v/>
      </c>
      <c r="V105" s="288" t="str">
        <f t="shared" si="6"/>
        <v/>
      </c>
      <c r="W105" s="264"/>
      <c r="X105" s="289" t="str">
        <f t="shared" si="7"/>
        <v/>
      </c>
      <c r="Y105" s="290" t="str">
        <f t="shared" si="8"/>
        <v/>
      </c>
      <c r="Z105" s="291" t="str">
        <f t="shared" si="9"/>
        <v/>
      </c>
      <c r="AA105" s="289" t="str">
        <f t="shared" si="10"/>
        <v/>
      </c>
      <c r="AB105" s="291" t="str">
        <f t="shared" si="11"/>
        <v/>
      </c>
      <c r="AC105" s="292" t="str">
        <f t="shared" si="12"/>
        <v/>
      </c>
      <c r="AD105" s="281"/>
      <c r="AE105" s="22"/>
    </row>
    <row r="106">
      <c r="A106" s="264"/>
      <c r="B106" s="267"/>
      <c r="C106" s="265"/>
      <c r="D106" s="265"/>
      <c r="E106" s="265"/>
      <c r="F106" s="266"/>
      <c r="G106" s="267" t="str">
        <f t="shared" si="1"/>
        <v/>
      </c>
      <c r="H106" s="264"/>
      <c r="I106" s="282"/>
      <c r="J106" s="282"/>
      <c r="K106" s="282"/>
      <c r="L106" s="282"/>
      <c r="M106" s="269"/>
      <c r="N106" s="283" t="str">
        <f t="array" ref="N106">if(C106=0,"",INDEX('Biaya Administrasi'!E:E, MATCH(I106, 'Biaya Administrasi'!B:B, 0)))</f>
        <v/>
      </c>
      <c r="O106" s="284" t="str">
        <f t="shared" si="2"/>
        <v/>
      </c>
      <c r="P106" s="285" t="str">
        <f t="array" ref="P106">if(J106=0,"",INDEX('Biaya Gratis Ongkir Xtra'!D:D, MATCH(J106, 'Biaya Gratis Ongkir Xtra'!C:C, 0)))</f>
        <v/>
      </c>
      <c r="Q106" s="286" t="str">
        <f t="shared" si="3"/>
        <v/>
      </c>
      <c r="R106" s="287" t="str">
        <f t="array" ref="R106">if(K106=0,"",INDEX('Biaya Gratis Ongkir Xtra'!$C$7:$C$10, MATCH(K106, 'Biaya Gratis Ongkir Xtra'!$B$7:$B$10, 0)))</f>
        <v/>
      </c>
      <c r="S106" s="288" t="str">
        <f t="shared" si="4"/>
        <v/>
      </c>
      <c r="T106" s="273" t="str">
        <f t="shared" si="13"/>
        <v/>
      </c>
      <c r="U106" s="287" t="str">
        <f t="array" ref="U106">if(C106=0,"",INDEX('Biaya Gratis Ongkir Xtra'!$C$3:$C$4, MATCH(L106, 'Biaya Gratis Ongkir Xtra'!$B$3:$B$4, 0)))</f>
        <v/>
      </c>
      <c r="V106" s="288" t="str">
        <f t="shared" si="6"/>
        <v/>
      </c>
      <c r="W106" s="264"/>
      <c r="X106" s="289" t="str">
        <f t="shared" si="7"/>
        <v/>
      </c>
      <c r="Y106" s="290" t="str">
        <f t="shared" si="8"/>
        <v/>
      </c>
      <c r="Z106" s="291" t="str">
        <f t="shared" si="9"/>
        <v/>
      </c>
      <c r="AA106" s="289" t="str">
        <f t="shared" si="10"/>
        <v/>
      </c>
      <c r="AB106" s="291" t="str">
        <f t="shared" si="11"/>
        <v/>
      </c>
      <c r="AC106" s="292" t="str">
        <f t="shared" si="12"/>
        <v/>
      </c>
      <c r="AD106" s="281"/>
      <c r="AE106" s="22"/>
    </row>
    <row r="107">
      <c r="A107" s="264"/>
      <c r="B107" s="267"/>
      <c r="C107" s="265"/>
      <c r="D107" s="265"/>
      <c r="E107" s="265"/>
      <c r="F107" s="266"/>
      <c r="G107" s="267" t="str">
        <f t="shared" si="1"/>
        <v/>
      </c>
      <c r="H107" s="264"/>
      <c r="I107" s="282"/>
      <c r="J107" s="282"/>
      <c r="K107" s="282"/>
      <c r="L107" s="282"/>
      <c r="M107" s="269"/>
      <c r="N107" s="283" t="str">
        <f t="array" ref="N107">if(C107=0,"",INDEX('Biaya Administrasi'!E:E, MATCH(I107, 'Biaya Administrasi'!B:B, 0)))</f>
        <v/>
      </c>
      <c r="O107" s="284" t="str">
        <f t="shared" si="2"/>
        <v/>
      </c>
      <c r="P107" s="285" t="str">
        <f t="array" ref="P107">if(J107=0,"",INDEX('Biaya Gratis Ongkir Xtra'!D:D, MATCH(J107, 'Biaya Gratis Ongkir Xtra'!C:C, 0)))</f>
        <v/>
      </c>
      <c r="Q107" s="286" t="str">
        <f t="shared" si="3"/>
        <v/>
      </c>
      <c r="R107" s="287" t="str">
        <f t="array" ref="R107">if(K107=0,"",INDEX('Biaya Gratis Ongkir Xtra'!$C$7:$C$10, MATCH(K107, 'Biaya Gratis Ongkir Xtra'!$B$7:$B$10, 0)))</f>
        <v/>
      </c>
      <c r="S107" s="288" t="str">
        <f t="shared" si="4"/>
        <v/>
      </c>
      <c r="T107" s="273" t="str">
        <f t="shared" si="13"/>
        <v/>
      </c>
      <c r="U107" s="287" t="str">
        <f t="array" ref="U107">if(C107=0,"",INDEX('Biaya Gratis Ongkir Xtra'!$C$3:$C$4, MATCH(L107, 'Biaya Gratis Ongkir Xtra'!$B$3:$B$4, 0)))</f>
        <v/>
      </c>
      <c r="V107" s="288" t="str">
        <f t="shared" si="6"/>
        <v/>
      </c>
      <c r="W107" s="264"/>
      <c r="X107" s="289" t="str">
        <f t="shared" si="7"/>
        <v/>
      </c>
      <c r="Y107" s="290" t="str">
        <f t="shared" si="8"/>
        <v/>
      </c>
      <c r="Z107" s="291" t="str">
        <f t="shared" si="9"/>
        <v/>
      </c>
      <c r="AA107" s="289" t="str">
        <f t="shared" si="10"/>
        <v/>
      </c>
      <c r="AB107" s="291" t="str">
        <f t="shared" si="11"/>
        <v/>
      </c>
      <c r="AC107" s="292" t="str">
        <f t="shared" si="12"/>
        <v/>
      </c>
      <c r="AD107" s="281"/>
      <c r="AE107" s="22"/>
    </row>
    <row r="108">
      <c r="A108" s="264"/>
      <c r="B108" s="267"/>
      <c r="C108" s="265"/>
      <c r="D108" s="265"/>
      <c r="E108" s="265"/>
      <c r="F108" s="266"/>
      <c r="G108" s="267" t="str">
        <f t="shared" si="1"/>
        <v/>
      </c>
      <c r="H108" s="264"/>
      <c r="I108" s="282"/>
      <c r="J108" s="282"/>
      <c r="K108" s="282"/>
      <c r="L108" s="282"/>
      <c r="M108" s="269"/>
      <c r="N108" s="283" t="str">
        <f t="array" ref="N108">if(C108=0,"",INDEX('Biaya Administrasi'!E:E, MATCH(I108, 'Biaya Administrasi'!B:B, 0)))</f>
        <v/>
      </c>
      <c r="O108" s="284" t="str">
        <f t="shared" si="2"/>
        <v/>
      </c>
      <c r="P108" s="285" t="str">
        <f t="array" ref="P108">if(J108=0,"",INDEX('Biaya Gratis Ongkir Xtra'!D:D, MATCH(J108, 'Biaya Gratis Ongkir Xtra'!C:C, 0)))</f>
        <v/>
      </c>
      <c r="Q108" s="286" t="str">
        <f t="shared" si="3"/>
        <v/>
      </c>
      <c r="R108" s="287" t="str">
        <f t="array" ref="R108">if(K108=0,"",INDEX('Biaya Gratis Ongkir Xtra'!$C$7:$C$10, MATCH(K108, 'Biaya Gratis Ongkir Xtra'!$B$7:$B$10, 0)))</f>
        <v/>
      </c>
      <c r="S108" s="288" t="str">
        <f t="shared" si="4"/>
        <v/>
      </c>
      <c r="T108" s="273" t="str">
        <f t="shared" si="13"/>
        <v/>
      </c>
      <c r="U108" s="287" t="str">
        <f t="array" ref="U108">if(C108=0,"",INDEX('Biaya Gratis Ongkir Xtra'!$C$3:$C$4, MATCH(L108, 'Biaya Gratis Ongkir Xtra'!$B$3:$B$4, 0)))</f>
        <v/>
      </c>
      <c r="V108" s="288" t="str">
        <f t="shared" si="6"/>
        <v/>
      </c>
      <c r="W108" s="264"/>
      <c r="X108" s="289" t="str">
        <f t="shared" si="7"/>
        <v/>
      </c>
      <c r="Y108" s="290" t="str">
        <f t="shared" si="8"/>
        <v/>
      </c>
      <c r="Z108" s="291" t="str">
        <f t="shared" si="9"/>
        <v/>
      </c>
      <c r="AA108" s="289" t="str">
        <f t="shared" si="10"/>
        <v/>
      </c>
      <c r="AB108" s="291" t="str">
        <f t="shared" si="11"/>
        <v/>
      </c>
      <c r="AC108" s="292" t="str">
        <f t="shared" si="12"/>
        <v/>
      </c>
      <c r="AD108" s="281"/>
      <c r="AE108" s="22"/>
    </row>
    <row r="109">
      <c r="A109" s="264"/>
      <c r="B109" s="267"/>
      <c r="C109" s="265"/>
      <c r="D109" s="265"/>
      <c r="E109" s="265"/>
      <c r="F109" s="266"/>
      <c r="G109" s="267" t="str">
        <f t="shared" si="1"/>
        <v/>
      </c>
      <c r="H109" s="264"/>
      <c r="I109" s="282"/>
      <c r="J109" s="282"/>
      <c r="K109" s="282"/>
      <c r="L109" s="282"/>
      <c r="M109" s="269"/>
      <c r="N109" s="283" t="str">
        <f t="array" ref="N109">if(C109=0,"",INDEX('Biaya Administrasi'!E:E, MATCH(I109, 'Biaya Administrasi'!B:B, 0)))</f>
        <v/>
      </c>
      <c r="O109" s="284" t="str">
        <f t="shared" si="2"/>
        <v/>
      </c>
      <c r="P109" s="285" t="str">
        <f t="array" ref="P109">if(J109=0,"",INDEX('Biaya Gratis Ongkir Xtra'!D:D, MATCH(J109, 'Biaya Gratis Ongkir Xtra'!C:C, 0)))</f>
        <v/>
      </c>
      <c r="Q109" s="286" t="str">
        <f t="shared" si="3"/>
        <v/>
      </c>
      <c r="R109" s="287" t="str">
        <f t="array" ref="R109">if(K109=0,"",INDEX('Biaya Gratis Ongkir Xtra'!$C$7:$C$10, MATCH(K109, 'Biaya Gratis Ongkir Xtra'!$B$7:$B$10, 0)))</f>
        <v/>
      </c>
      <c r="S109" s="288" t="str">
        <f t="shared" si="4"/>
        <v/>
      </c>
      <c r="T109" s="273" t="str">
        <f t="shared" si="13"/>
        <v/>
      </c>
      <c r="U109" s="287" t="str">
        <f t="array" ref="U109">if(C109=0,"",INDEX('Biaya Gratis Ongkir Xtra'!$C$3:$C$4, MATCH(L109, 'Biaya Gratis Ongkir Xtra'!$B$3:$B$4, 0)))</f>
        <v/>
      </c>
      <c r="V109" s="288" t="str">
        <f t="shared" si="6"/>
        <v/>
      </c>
      <c r="W109" s="264"/>
      <c r="X109" s="289" t="str">
        <f t="shared" si="7"/>
        <v/>
      </c>
      <c r="Y109" s="290" t="str">
        <f t="shared" si="8"/>
        <v/>
      </c>
      <c r="Z109" s="291" t="str">
        <f t="shared" si="9"/>
        <v/>
      </c>
      <c r="AA109" s="289" t="str">
        <f t="shared" si="10"/>
        <v/>
      </c>
      <c r="AB109" s="291" t="str">
        <f t="shared" si="11"/>
        <v/>
      </c>
      <c r="AC109" s="292" t="str">
        <f t="shared" si="12"/>
        <v/>
      </c>
      <c r="AD109" s="281"/>
      <c r="AE109" s="22"/>
    </row>
    <row r="110">
      <c r="A110" s="264"/>
      <c r="B110" s="267"/>
      <c r="C110" s="265"/>
      <c r="D110" s="265"/>
      <c r="E110" s="265"/>
      <c r="F110" s="266"/>
      <c r="G110" s="267" t="str">
        <f t="shared" si="1"/>
        <v/>
      </c>
      <c r="H110" s="264"/>
      <c r="I110" s="282"/>
      <c r="J110" s="282"/>
      <c r="K110" s="282"/>
      <c r="L110" s="282"/>
      <c r="M110" s="269"/>
      <c r="N110" s="283" t="str">
        <f t="array" ref="N110">if(C110=0,"",INDEX('Biaya Administrasi'!E:E, MATCH(I110, 'Biaya Administrasi'!B:B, 0)))</f>
        <v/>
      </c>
      <c r="O110" s="284" t="str">
        <f t="shared" si="2"/>
        <v/>
      </c>
      <c r="P110" s="285" t="str">
        <f t="array" ref="P110">if(J110=0,"",INDEX('Biaya Gratis Ongkir Xtra'!D:D, MATCH(J110, 'Biaya Gratis Ongkir Xtra'!C:C, 0)))</f>
        <v/>
      </c>
      <c r="Q110" s="286" t="str">
        <f t="shared" si="3"/>
        <v/>
      </c>
      <c r="R110" s="287" t="str">
        <f t="array" ref="R110">if(K110=0,"",INDEX('Biaya Gratis Ongkir Xtra'!$C$7:$C$10, MATCH(K110, 'Biaya Gratis Ongkir Xtra'!$B$7:$B$10, 0)))</f>
        <v/>
      </c>
      <c r="S110" s="288" t="str">
        <f t="shared" si="4"/>
        <v/>
      </c>
      <c r="T110" s="273" t="str">
        <f t="shared" si="13"/>
        <v/>
      </c>
      <c r="U110" s="287" t="str">
        <f t="array" ref="U110">if(C110=0,"",INDEX('Biaya Gratis Ongkir Xtra'!$C$3:$C$4, MATCH(L110, 'Biaya Gratis Ongkir Xtra'!$B$3:$B$4, 0)))</f>
        <v/>
      </c>
      <c r="V110" s="288" t="str">
        <f t="shared" si="6"/>
        <v/>
      </c>
      <c r="W110" s="264"/>
      <c r="X110" s="289" t="str">
        <f t="shared" si="7"/>
        <v/>
      </c>
      <c r="Y110" s="290" t="str">
        <f t="shared" si="8"/>
        <v/>
      </c>
      <c r="Z110" s="291" t="str">
        <f t="shared" si="9"/>
        <v/>
      </c>
      <c r="AA110" s="289" t="str">
        <f t="shared" si="10"/>
        <v/>
      </c>
      <c r="AB110" s="291" t="str">
        <f t="shared" si="11"/>
        <v/>
      </c>
      <c r="AC110" s="292" t="str">
        <f t="shared" si="12"/>
        <v/>
      </c>
      <c r="AD110" s="281"/>
      <c r="AE110" s="22"/>
    </row>
    <row r="111">
      <c r="A111" s="264"/>
      <c r="B111" s="267"/>
      <c r="C111" s="265"/>
      <c r="D111" s="265"/>
      <c r="E111" s="265"/>
      <c r="F111" s="266"/>
      <c r="G111" s="267" t="str">
        <f t="shared" si="1"/>
        <v/>
      </c>
      <c r="H111" s="264"/>
      <c r="I111" s="282"/>
      <c r="J111" s="282"/>
      <c r="K111" s="282"/>
      <c r="L111" s="282"/>
      <c r="M111" s="269"/>
      <c r="N111" s="283" t="str">
        <f t="array" ref="N111">if(C111=0,"",INDEX('Biaya Administrasi'!E:E, MATCH(I111, 'Biaya Administrasi'!B:B, 0)))</f>
        <v/>
      </c>
      <c r="O111" s="284" t="str">
        <f t="shared" si="2"/>
        <v/>
      </c>
      <c r="P111" s="285" t="str">
        <f t="array" ref="P111">if(J111=0,"",INDEX('Biaya Gratis Ongkir Xtra'!D:D, MATCH(J111, 'Biaya Gratis Ongkir Xtra'!C:C, 0)))</f>
        <v/>
      </c>
      <c r="Q111" s="286" t="str">
        <f t="shared" si="3"/>
        <v/>
      </c>
      <c r="R111" s="287" t="str">
        <f t="array" ref="R111">if(K111=0,"",INDEX('Biaya Gratis Ongkir Xtra'!$C$7:$C$10, MATCH(K111, 'Biaya Gratis Ongkir Xtra'!$B$7:$B$10, 0)))</f>
        <v/>
      </c>
      <c r="S111" s="288" t="str">
        <f t="shared" si="4"/>
        <v/>
      </c>
      <c r="T111" s="273" t="str">
        <f t="shared" si="13"/>
        <v/>
      </c>
      <c r="U111" s="287" t="str">
        <f t="array" ref="U111">if(C111=0,"",INDEX('Biaya Gratis Ongkir Xtra'!$C$3:$C$4, MATCH(L111, 'Biaya Gratis Ongkir Xtra'!$B$3:$B$4, 0)))</f>
        <v/>
      </c>
      <c r="V111" s="288" t="str">
        <f t="shared" si="6"/>
        <v/>
      </c>
      <c r="W111" s="264"/>
      <c r="X111" s="289" t="str">
        <f t="shared" si="7"/>
        <v/>
      </c>
      <c r="Y111" s="290" t="str">
        <f t="shared" si="8"/>
        <v/>
      </c>
      <c r="Z111" s="291" t="str">
        <f t="shared" si="9"/>
        <v/>
      </c>
      <c r="AA111" s="289" t="str">
        <f t="shared" si="10"/>
        <v/>
      </c>
      <c r="AB111" s="291" t="str">
        <f t="shared" si="11"/>
        <v/>
      </c>
      <c r="AC111" s="292" t="str">
        <f t="shared" si="12"/>
        <v/>
      </c>
      <c r="AD111" s="281"/>
      <c r="AE111" s="22"/>
    </row>
    <row r="112">
      <c r="A112" s="264"/>
      <c r="B112" s="267"/>
      <c r="C112" s="265"/>
      <c r="D112" s="265"/>
      <c r="E112" s="265"/>
      <c r="F112" s="266"/>
      <c r="G112" s="267" t="str">
        <f t="shared" si="1"/>
        <v/>
      </c>
      <c r="H112" s="264"/>
      <c r="I112" s="282"/>
      <c r="J112" s="282"/>
      <c r="K112" s="282"/>
      <c r="L112" s="282"/>
      <c r="M112" s="269"/>
      <c r="N112" s="283" t="str">
        <f t="array" ref="N112">if(C112=0,"",INDEX('Biaya Administrasi'!E:E, MATCH(I112, 'Biaya Administrasi'!B:B, 0)))</f>
        <v/>
      </c>
      <c r="O112" s="284" t="str">
        <f t="shared" si="2"/>
        <v/>
      </c>
      <c r="P112" s="285" t="str">
        <f t="array" ref="P112">if(J112=0,"",INDEX('Biaya Gratis Ongkir Xtra'!D:D, MATCH(J112, 'Biaya Gratis Ongkir Xtra'!C:C, 0)))</f>
        <v/>
      </c>
      <c r="Q112" s="286" t="str">
        <f t="shared" si="3"/>
        <v/>
      </c>
      <c r="R112" s="287" t="str">
        <f t="array" ref="R112">if(K112=0,"",INDEX('Biaya Gratis Ongkir Xtra'!$C$7:$C$10, MATCH(K112, 'Biaya Gratis Ongkir Xtra'!$B$7:$B$10, 0)))</f>
        <v/>
      </c>
      <c r="S112" s="288" t="str">
        <f t="shared" si="4"/>
        <v/>
      </c>
      <c r="T112" s="273" t="str">
        <f t="shared" si="13"/>
        <v/>
      </c>
      <c r="U112" s="287" t="str">
        <f t="array" ref="U112">if(C112=0,"",INDEX('Biaya Gratis Ongkir Xtra'!$C$3:$C$4, MATCH(L112, 'Biaya Gratis Ongkir Xtra'!$B$3:$B$4, 0)))</f>
        <v/>
      </c>
      <c r="V112" s="288" t="str">
        <f t="shared" si="6"/>
        <v/>
      </c>
      <c r="W112" s="264"/>
      <c r="X112" s="289" t="str">
        <f t="shared" si="7"/>
        <v/>
      </c>
      <c r="Y112" s="290" t="str">
        <f t="shared" si="8"/>
        <v/>
      </c>
      <c r="Z112" s="291" t="str">
        <f t="shared" si="9"/>
        <v/>
      </c>
      <c r="AA112" s="289" t="str">
        <f t="shared" si="10"/>
        <v/>
      </c>
      <c r="AB112" s="291" t="str">
        <f t="shared" si="11"/>
        <v/>
      </c>
      <c r="AC112" s="292" t="str">
        <f t="shared" si="12"/>
        <v/>
      </c>
      <c r="AD112" s="281"/>
      <c r="AE112" s="22"/>
    </row>
    <row r="113">
      <c r="A113" s="264"/>
      <c r="B113" s="267"/>
      <c r="C113" s="265"/>
      <c r="D113" s="265"/>
      <c r="E113" s="265"/>
      <c r="F113" s="266"/>
      <c r="G113" s="267" t="str">
        <f t="shared" si="1"/>
        <v/>
      </c>
      <c r="H113" s="264"/>
      <c r="I113" s="282"/>
      <c r="J113" s="282"/>
      <c r="K113" s="282"/>
      <c r="L113" s="282"/>
      <c r="M113" s="269"/>
      <c r="N113" s="283" t="str">
        <f t="array" ref="N113">if(C113=0,"",INDEX('Biaya Administrasi'!E:E, MATCH(I113, 'Biaya Administrasi'!B:B, 0)))</f>
        <v/>
      </c>
      <c r="O113" s="284" t="str">
        <f t="shared" si="2"/>
        <v/>
      </c>
      <c r="P113" s="285" t="str">
        <f t="array" ref="P113">if(J113=0,"",INDEX('Biaya Gratis Ongkir Xtra'!D:D, MATCH(J113, 'Biaya Gratis Ongkir Xtra'!C:C, 0)))</f>
        <v/>
      </c>
      <c r="Q113" s="286" t="str">
        <f t="shared" si="3"/>
        <v/>
      </c>
      <c r="R113" s="287" t="str">
        <f t="array" ref="R113">if(K113=0,"",INDEX('Biaya Gratis Ongkir Xtra'!$C$7:$C$10, MATCH(K113, 'Biaya Gratis Ongkir Xtra'!$B$7:$B$10, 0)))</f>
        <v/>
      </c>
      <c r="S113" s="288" t="str">
        <f t="shared" si="4"/>
        <v/>
      </c>
      <c r="T113" s="273" t="str">
        <f t="shared" si="13"/>
        <v/>
      </c>
      <c r="U113" s="287" t="str">
        <f t="array" ref="U113">if(C113=0,"",INDEX('Biaya Gratis Ongkir Xtra'!$C$3:$C$4, MATCH(L113, 'Biaya Gratis Ongkir Xtra'!$B$3:$B$4, 0)))</f>
        <v/>
      </c>
      <c r="V113" s="288" t="str">
        <f t="shared" si="6"/>
        <v/>
      </c>
      <c r="W113" s="264"/>
      <c r="X113" s="289" t="str">
        <f t="shared" si="7"/>
        <v/>
      </c>
      <c r="Y113" s="290" t="str">
        <f t="shared" si="8"/>
        <v/>
      </c>
      <c r="Z113" s="291" t="str">
        <f t="shared" si="9"/>
        <v/>
      </c>
      <c r="AA113" s="289" t="str">
        <f t="shared" si="10"/>
        <v/>
      </c>
      <c r="AB113" s="291" t="str">
        <f t="shared" si="11"/>
        <v/>
      </c>
      <c r="AC113" s="292" t="str">
        <f t="shared" si="12"/>
        <v/>
      </c>
      <c r="AD113" s="281"/>
      <c r="AE113" s="22"/>
    </row>
    <row r="114">
      <c r="A114" s="264"/>
      <c r="B114" s="267"/>
      <c r="C114" s="265"/>
      <c r="D114" s="265"/>
      <c r="E114" s="265"/>
      <c r="F114" s="266"/>
      <c r="G114" s="267" t="str">
        <f t="shared" si="1"/>
        <v/>
      </c>
      <c r="H114" s="264"/>
      <c r="I114" s="282"/>
      <c r="J114" s="282"/>
      <c r="K114" s="282"/>
      <c r="L114" s="282"/>
      <c r="M114" s="269"/>
      <c r="N114" s="283" t="str">
        <f t="array" ref="N114">if(C114=0,"",INDEX('Biaya Administrasi'!E:E, MATCH(I114, 'Biaya Administrasi'!B:B, 0)))</f>
        <v/>
      </c>
      <c r="O114" s="284" t="str">
        <f t="shared" si="2"/>
        <v/>
      </c>
      <c r="P114" s="285" t="str">
        <f t="array" ref="P114">if(J114=0,"",INDEX('Biaya Gratis Ongkir Xtra'!D:D, MATCH(J114, 'Biaya Gratis Ongkir Xtra'!C:C, 0)))</f>
        <v/>
      </c>
      <c r="Q114" s="286" t="str">
        <f t="shared" si="3"/>
        <v/>
      </c>
      <c r="R114" s="287" t="str">
        <f t="array" ref="R114">if(K114=0,"",INDEX('Biaya Gratis Ongkir Xtra'!$C$7:$C$10, MATCH(K114, 'Biaya Gratis Ongkir Xtra'!$B$7:$B$10, 0)))</f>
        <v/>
      </c>
      <c r="S114" s="288" t="str">
        <f t="shared" si="4"/>
        <v/>
      </c>
      <c r="T114" s="273" t="str">
        <f t="shared" si="13"/>
        <v/>
      </c>
      <c r="U114" s="287" t="str">
        <f t="array" ref="U114">if(C114=0,"",INDEX('Biaya Gratis Ongkir Xtra'!$C$3:$C$4, MATCH(L114, 'Biaya Gratis Ongkir Xtra'!$B$3:$B$4, 0)))</f>
        <v/>
      </c>
      <c r="V114" s="288" t="str">
        <f t="shared" si="6"/>
        <v/>
      </c>
      <c r="W114" s="264"/>
      <c r="X114" s="289" t="str">
        <f t="shared" si="7"/>
        <v/>
      </c>
      <c r="Y114" s="290" t="str">
        <f t="shared" si="8"/>
        <v/>
      </c>
      <c r="Z114" s="291" t="str">
        <f t="shared" si="9"/>
        <v/>
      </c>
      <c r="AA114" s="289" t="str">
        <f t="shared" si="10"/>
        <v/>
      </c>
      <c r="AB114" s="291" t="str">
        <f t="shared" si="11"/>
        <v/>
      </c>
      <c r="AC114" s="292" t="str">
        <f t="shared" si="12"/>
        <v/>
      </c>
      <c r="AD114" s="281"/>
      <c r="AE114" s="22"/>
    </row>
    <row r="115">
      <c r="A115" s="264"/>
      <c r="B115" s="267"/>
      <c r="C115" s="265"/>
      <c r="D115" s="265"/>
      <c r="E115" s="265"/>
      <c r="F115" s="266"/>
      <c r="G115" s="267" t="str">
        <f t="shared" si="1"/>
        <v/>
      </c>
      <c r="H115" s="264"/>
      <c r="I115" s="282"/>
      <c r="J115" s="282"/>
      <c r="K115" s="282"/>
      <c r="L115" s="282"/>
      <c r="M115" s="269"/>
      <c r="N115" s="283" t="str">
        <f t="array" ref="N115">if(C115=0,"",INDEX('Biaya Administrasi'!E:E, MATCH(I115, 'Biaya Administrasi'!B:B, 0)))</f>
        <v/>
      </c>
      <c r="O115" s="284" t="str">
        <f t="shared" si="2"/>
        <v/>
      </c>
      <c r="P115" s="285" t="str">
        <f t="array" ref="P115">if(J115=0,"",INDEX('Biaya Gratis Ongkir Xtra'!D:D, MATCH(J115, 'Biaya Gratis Ongkir Xtra'!C:C, 0)))</f>
        <v/>
      </c>
      <c r="Q115" s="286" t="str">
        <f t="shared" si="3"/>
        <v/>
      </c>
      <c r="R115" s="287" t="str">
        <f t="array" ref="R115">if(K115=0,"",INDEX('Biaya Gratis Ongkir Xtra'!$C$7:$C$10, MATCH(K115, 'Biaya Gratis Ongkir Xtra'!$B$7:$B$10, 0)))</f>
        <v/>
      </c>
      <c r="S115" s="288" t="str">
        <f t="shared" si="4"/>
        <v/>
      </c>
      <c r="T115" s="273" t="str">
        <f t="shared" si="13"/>
        <v/>
      </c>
      <c r="U115" s="287" t="str">
        <f t="array" ref="U115">if(C115=0,"",INDEX('Biaya Gratis Ongkir Xtra'!$C$3:$C$4, MATCH(L115, 'Biaya Gratis Ongkir Xtra'!$B$3:$B$4, 0)))</f>
        <v/>
      </c>
      <c r="V115" s="288" t="str">
        <f t="shared" si="6"/>
        <v/>
      </c>
      <c r="W115" s="264"/>
      <c r="X115" s="289" t="str">
        <f t="shared" si="7"/>
        <v/>
      </c>
      <c r="Y115" s="290" t="str">
        <f t="shared" si="8"/>
        <v/>
      </c>
      <c r="Z115" s="291" t="str">
        <f t="shared" si="9"/>
        <v/>
      </c>
      <c r="AA115" s="289" t="str">
        <f t="shared" si="10"/>
        <v/>
      </c>
      <c r="AB115" s="291" t="str">
        <f t="shared" si="11"/>
        <v/>
      </c>
      <c r="AC115" s="292" t="str">
        <f t="shared" si="12"/>
        <v/>
      </c>
      <c r="AD115" s="281"/>
      <c r="AE115" s="22"/>
    </row>
    <row r="116">
      <c r="A116" s="264"/>
      <c r="B116" s="267"/>
      <c r="C116" s="265"/>
      <c r="D116" s="265"/>
      <c r="E116" s="265"/>
      <c r="F116" s="266"/>
      <c r="G116" s="267" t="str">
        <f t="shared" si="1"/>
        <v/>
      </c>
      <c r="H116" s="264"/>
      <c r="I116" s="282"/>
      <c r="J116" s="282"/>
      <c r="K116" s="282"/>
      <c r="L116" s="282"/>
      <c r="M116" s="269"/>
      <c r="N116" s="283" t="str">
        <f t="array" ref="N116">if(C116=0,"",INDEX('Biaya Administrasi'!E:E, MATCH(I116, 'Biaya Administrasi'!B:B, 0)))</f>
        <v/>
      </c>
      <c r="O116" s="284" t="str">
        <f t="shared" si="2"/>
        <v/>
      </c>
      <c r="P116" s="285" t="str">
        <f t="array" ref="P116">if(J116=0,"",INDEX('Biaya Gratis Ongkir Xtra'!D:D, MATCH(J116, 'Biaya Gratis Ongkir Xtra'!C:C, 0)))</f>
        <v/>
      </c>
      <c r="Q116" s="286" t="str">
        <f t="shared" si="3"/>
        <v/>
      </c>
      <c r="R116" s="287" t="str">
        <f t="array" ref="R116">if(K116=0,"",INDEX('Biaya Gratis Ongkir Xtra'!$C$7:$C$10, MATCH(K116, 'Biaya Gratis Ongkir Xtra'!$B$7:$B$10, 0)))</f>
        <v/>
      </c>
      <c r="S116" s="288" t="str">
        <f t="shared" si="4"/>
        <v/>
      </c>
      <c r="T116" s="273" t="str">
        <f t="shared" si="13"/>
        <v/>
      </c>
      <c r="U116" s="287" t="str">
        <f t="array" ref="U116">if(C116=0,"",INDEX('Biaya Gratis Ongkir Xtra'!$C$3:$C$4, MATCH(L116, 'Biaya Gratis Ongkir Xtra'!$B$3:$B$4, 0)))</f>
        <v/>
      </c>
      <c r="V116" s="288" t="str">
        <f t="shared" si="6"/>
        <v/>
      </c>
      <c r="W116" s="264"/>
      <c r="X116" s="289" t="str">
        <f t="shared" si="7"/>
        <v/>
      </c>
      <c r="Y116" s="290" t="str">
        <f t="shared" si="8"/>
        <v/>
      </c>
      <c r="Z116" s="291" t="str">
        <f t="shared" si="9"/>
        <v/>
      </c>
      <c r="AA116" s="289" t="str">
        <f t="shared" si="10"/>
        <v/>
      </c>
      <c r="AB116" s="291" t="str">
        <f t="shared" si="11"/>
        <v/>
      </c>
      <c r="AC116" s="292" t="str">
        <f t="shared" si="12"/>
        <v/>
      </c>
      <c r="AD116" s="281"/>
      <c r="AE116" s="22"/>
    </row>
    <row r="117">
      <c r="A117" s="264"/>
      <c r="B117" s="267"/>
      <c r="C117" s="265"/>
      <c r="D117" s="265"/>
      <c r="E117" s="265"/>
      <c r="F117" s="266"/>
      <c r="G117" s="267" t="str">
        <f t="shared" si="1"/>
        <v/>
      </c>
      <c r="H117" s="264"/>
      <c r="I117" s="282"/>
      <c r="J117" s="282"/>
      <c r="K117" s="282"/>
      <c r="L117" s="282"/>
      <c r="M117" s="269"/>
      <c r="N117" s="283" t="str">
        <f t="array" ref="N117">if(C117=0,"",INDEX('Biaya Administrasi'!E:E, MATCH(I117, 'Biaya Administrasi'!B:B, 0)))</f>
        <v/>
      </c>
      <c r="O117" s="284" t="str">
        <f t="shared" si="2"/>
        <v/>
      </c>
      <c r="P117" s="285" t="str">
        <f t="array" ref="P117">if(J117=0,"",INDEX('Biaya Gratis Ongkir Xtra'!D:D, MATCH(J117, 'Biaya Gratis Ongkir Xtra'!C:C, 0)))</f>
        <v/>
      </c>
      <c r="Q117" s="286" t="str">
        <f t="shared" si="3"/>
        <v/>
      </c>
      <c r="R117" s="287" t="str">
        <f t="array" ref="R117">if(K117=0,"",INDEX('Biaya Gratis Ongkir Xtra'!$C$7:$C$10, MATCH(K117, 'Biaya Gratis Ongkir Xtra'!$B$7:$B$10, 0)))</f>
        <v/>
      </c>
      <c r="S117" s="288" t="str">
        <f t="shared" si="4"/>
        <v/>
      </c>
      <c r="T117" s="273" t="str">
        <f t="shared" si="13"/>
        <v/>
      </c>
      <c r="U117" s="287" t="str">
        <f t="array" ref="U117">if(C117=0,"",INDEX('Biaya Gratis Ongkir Xtra'!$C$3:$C$4, MATCH(L117, 'Biaya Gratis Ongkir Xtra'!$B$3:$B$4, 0)))</f>
        <v/>
      </c>
      <c r="V117" s="288" t="str">
        <f t="shared" si="6"/>
        <v/>
      </c>
      <c r="W117" s="264"/>
      <c r="X117" s="289" t="str">
        <f t="shared" si="7"/>
        <v/>
      </c>
      <c r="Y117" s="290" t="str">
        <f t="shared" si="8"/>
        <v/>
      </c>
      <c r="Z117" s="291" t="str">
        <f t="shared" si="9"/>
        <v/>
      </c>
      <c r="AA117" s="289" t="str">
        <f t="shared" si="10"/>
        <v/>
      </c>
      <c r="AB117" s="291" t="str">
        <f t="shared" si="11"/>
        <v/>
      </c>
      <c r="AC117" s="292" t="str">
        <f t="shared" si="12"/>
        <v/>
      </c>
      <c r="AD117" s="281"/>
      <c r="AE117" s="22"/>
    </row>
    <row r="118">
      <c r="A118" s="264"/>
      <c r="B118" s="267"/>
      <c r="C118" s="265"/>
      <c r="D118" s="265"/>
      <c r="E118" s="265"/>
      <c r="F118" s="266"/>
      <c r="G118" s="267" t="str">
        <f t="shared" si="1"/>
        <v/>
      </c>
      <c r="H118" s="264"/>
      <c r="I118" s="282"/>
      <c r="J118" s="282"/>
      <c r="K118" s="282"/>
      <c r="L118" s="282"/>
      <c r="M118" s="269"/>
      <c r="N118" s="283" t="str">
        <f t="array" ref="N118">if(C118=0,"",INDEX('Biaya Administrasi'!E:E, MATCH(I118, 'Biaya Administrasi'!B:B, 0)))</f>
        <v/>
      </c>
      <c r="O118" s="284" t="str">
        <f t="shared" si="2"/>
        <v/>
      </c>
      <c r="P118" s="285" t="str">
        <f t="array" ref="P118">if(J118=0,"",INDEX('Biaya Gratis Ongkir Xtra'!D:D, MATCH(J118, 'Biaya Gratis Ongkir Xtra'!C:C, 0)))</f>
        <v/>
      </c>
      <c r="Q118" s="286" t="str">
        <f t="shared" si="3"/>
        <v/>
      </c>
      <c r="R118" s="287" t="str">
        <f t="array" ref="R118">if(K118=0,"",INDEX('Biaya Gratis Ongkir Xtra'!$C$7:$C$10, MATCH(K118, 'Biaya Gratis Ongkir Xtra'!$B$7:$B$10, 0)))</f>
        <v/>
      </c>
      <c r="S118" s="288" t="str">
        <f t="shared" si="4"/>
        <v/>
      </c>
      <c r="T118" s="273" t="str">
        <f t="shared" si="13"/>
        <v/>
      </c>
      <c r="U118" s="287" t="str">
        <f t="array" ref="U118">if(C118=0,"",INDEX('Biaya Gratis Ongkir Xtra'!$C$3:$C$4, MATCH(L118, 'Biaya Gratis Ongkir Xtra'!$B$3:$B$4, 0)))</f>
        <v/>
      </c>
      <c r="V118" s="288" t="str">
        <f t="shared" si="6"/>
        <v/>
      </c>
      <c r="W118" s="264"/>
      <c r="X118" s="289" t="str">
        <f t="shared" si="7"/>
        <v/>
      </c>
      <c r="Y118" s="290" t="str">
        <f t="shared" si="8"/>
        <v/>
      </c>
      <c r="Z118" s="291" t="str">
        <f t="shared" si="9"/>
        <v/>
      </c>
      <c r="AA118" s="289" t="str">
        <f t="shared" si="10"/>
        <v/>
      </c>
      <c r="AB118" s="291" t="str">
        <f t="shared" si="11"/>
        <v/>
      </c>
      <c r="AC118" s="292" t="str">
        <f t="shared" si="12"/>
        <v/>
      </c>
      <c r="AD118" s="281"/>
      <c r="AE118" s="22"/>
    </row>
    <row r="119">
      <c r="A119" s="264"/>
      <c r="B119" s="267"/>
      <c r="C119" s="265"/>
      <c r="D119" s="265"/>
      <c r="E119" s="265"/>
      <c r="F119" s="266"/>
      <c r="G119" s="267" t="str">
        <f t="shared" si="1"/>
        <v/>
      </c>
      <c r="H119" s="264"/>
      <c r="I119" s="282"/>
      <c r="J119" s="282"/>
      <c r="K119" s="282"/>
      <c r="L119" s="282"/>
      <c r="M119" s="269"/>
      <c r="N119" s="283" t="str">
        <f t="array" ref="N119">if(C119=0,"",INDEX('Biaya Administrasi'!E:E, MATCH(I119, 'Biaya Administrasi'!B:B, 0)))</f>
        <v/>
      </c>
      <c r="O119" s="284" t="str">
        <f t="shared" si="2"/>
        <v/>
      </c>
      <c r="P119" s="285" t="str">
        <f t="array" ref="P119">if(J119=0,"",INDEX('Biaya Gratis Ongkir Xtra'!D:D, MATCH(J119, 'Biaya Gratis Ongkir Xtra'!C:C, 0)))</f>
        <v/>
      </c>
      <c r="Q119" s="286" t="str">
        <f t="shared" si="3"/>
        <v/>
      </c>
      <c r="R119" s="287" t="str">
        <f t="array" ref="R119">if(K119=0,"",INDEX('Biaya Gratis Ongkir Xtra'!$C$7:$C$10, MATCH(K119, 'Biaya Gratis Ongkir Xtra'!$B$7:$B$10, 0)))</f>
        <v/>
      </c>
      <c r="S119" s="288" t="str">
        <f t="shared" si="4"/>
        <v/>
      </c>
      <c r="T119" s="273" t="str">
        <f t="shared" si="13"/>
        <v/>
      </c>
      <c r="U119" s="287" t="str">
        <f t="array" ref="U119">if(C119=0,"",INDEX('Biaya Gratis Ongkir Xtra'!$C$3:$C$4, MATCH(L119, 'Biaya Gratis Ongkir Xtra'!$B$3:$B$4, 0)))</f>
        <v/>
      </c>
      <c r="V119" s="288" t="str">
        <f t="shared" si="6"/>
        <v/>
      </c>
      <c r="W119" s="264"/>
      <c r="X119" s="289" t="str">
        <f t="shared" si="7"/>
        <v/>
      </c>
      <c r="Y119" s="290" t="str">
        <f t="shared" si="8"/>
        <v/>
      </c>
      <c r="Z119" s="291" t="str">
        <f t="shared" si="9"/>
        <v/>
      </c>
      <c r="AA119" s="289" t="str">
        <f t="shared" si="10"/>
        <v/>
      </c>
      <c r="AB119" s="291" t="str">
        <f t="shared" si="11"/>
        <v/>
      </c>
      <c r="AC119" s="292" t="str">
        <f t="shared" si="12"/>
        <v/>
      </c>
      <c r="AD119" s="281"/>
      <c r="AE119" s="22"/>
    </row>
    <row r="120">
      <c r="A120" s="264"/>
      <c r="B120" s="267"/>
      <c r="C120" s="265"/>
      <c r="D120" s="265"/>
      <c r="E120" s="265"/>
      <c r="F120" s="266"/>
      <c r="G120" s="267" t="str">
        <f t="shared" si="1"/>
        <v/>
      </c>
      <c r="H120" s="264"/>
      <c r="I120" s="282"/>
      <c r="J120" s="282"/>
      <c r="K120" s="282"/>
      <c r="L120" s="282"/>
      <c r="M120" s="269"/>
      <c r="N120" s="283" t="str">
        <f t="array" ref="N120">if(C120=0,"",INDEX('Biaya Administrasi'!E:E, MATCH(I120, 'Biaya Administrasi'!B:B, 0)))</f>
        <v/>
      </c>
      <c r="O120" s="284" t="str">
        <f t="shared" si="2"/>
        <v/>
      </c>
      <c r="P120" s="285" t="str">
        <f t="array" ref="P120">if(J120=0,"",INDEX('Biaya Gratis Ongkir Xtra'!D:D, MATCH(J120, 'Biaya Gratis Ongkir Xtra'!C:C, 0)))</f>
        <v/>
      </c>
      <c r="Q120" s="286" t="str">
        <f t="shared" si="3"/>
        <v/>
      </c>
      <c r="R120" s="287" t="str">
        <f t="array" ref="R120">if(K120=0,"",INDEX('Biaya Gratis Ongkir Xtra'!$C$7:$C$10, MATCH(K120, 'Biaya Gratis Ongkir Xtra'!$B$7:$B$10, 0)))</f>
        <v/>
      </c>
      <c r="S120" s="288" t="str">
        <f t="shared" si="4"/>
        <v/>
      </c>
      <c r="T120" s="273" t="str">
        <f t="shared" si="13"/>
        <v/>
      </c>
      <c r="U120" s="287" t="str">
        <f t="array" ref="U120">if(C120=0,"",INDEX('Biaya Gratis Ongkir Xtra'!$C$3:$C$4, MATCH(L120, 'Biaya Gratis Ongkir Xtra'!$B$3:$B$4, 0)))</f>
        <v/>
      </c>
      <c r="V120" s="288" t="str">
        <f t="shared" si="6"/>
        <v/>
      </c>
      <c r="W120" s="264"/>
      <c r="X120" s="289" t="str">
        <f t="shared" si="7"/>
        <v/>
      </c>
      <c r="Y120" s="290" t="str">
        <f t="shared" si="8"/>
        <v/>
      </c>
      <c r="Z120" s="291" t="str">
        <f t="shared" si="9"/>
        <v/>
      </c>
      <c r="AA120" s="289" t="str">
        <f t="shared" si="10"/>
        <v/>
      </c>
      <c r="AB120" s="291" t="str">
        <f t="shared" si="11"/>
        <v/>
      </c>
      <c r="AC120" s="292" t="str">
        <f t="shared" si="12"/>
        <v/>
      </c>
      <c r="AD120" s="281"/>
      <c r="AE120" s="22"/>
    </row>
    <row r="121">
      <c r="A121" s="264"/>
      <c r="B121" s="267"/>
      <c r="C121" s="265"/>
      <c r="D121" s="265"/>
      <c r="E121" s="265"/>
      <c r="F121" s="266"/>
      <c r="G121" s="267" t="str">
        <f t="shared" si="1"/>
        <v/>
      </c>
      <c r="H121" s="264"/>
      <c r="I121" s="282"/>
      <c r="J121" s="282"/>
      <c r="K121" s="282"/>
      <c r="L121" s="282"/>
      <c r="M121" s="269"/>
      <c r="N121" s="283" t="str">
        <f t="array" ref="N121">if(C121=0,"",INDEX('Biaya Administrasi'!E:E, MATCH(I121, 'Biaya Administrasi'!B:B, 0)))</f>
        <v/>
      </c>
      <c r="O121" s="284" t="str">
        <f t="shared" si="2"/>
        <v/>
      </c>
      <c r="P121" s="285" t="str">
        <f t="array" ref="P121">if(J121=0,"",INDEX('Biaya Gratis Ongkir Xtra'!D:D, MATCH(J121, 'Biaya Gratis Ongkir Xtra'!C:C, 0)))</f>
        <v/>
      </c>
      <c r="Q121" s="286" t="str">
        <f t="shared" si="3"/>
        <v/>
      </c>
      <c r="R121" s="287" t="str">
        <f t="array" ref="R121">if(K121=0,"",INDEX('Biaya Gratis Ongkir Xtra'!$C$7:$C$10, MATCH(K121, 'Biaya Gratis Ongkir Xtra'!$B$7:$B$10, 0)))</f>
        <v/>
      </c>
      <c r="S121" s="288" t="str">
        <f t="shared" si="4"/>
        <v/>
      </c>
      <c r="T121" s="273" t="str">
        <f t="shared" si="13"/>
        <v/>
      </c>
      <c r="U121" s="287" t="str">
        <f t="array" ref="U121">if(C121=0,"",INDEX('Biaya Gratis Ongkir Xtra'!$C$3:$C$4, MATCH(L121, 'Biaya Gratis Ongkir Xtra'!$B$3:$B$4, 0)))</f>
        <v/>
      </c>
      <c r="V121" s="288" t="str">
        <f t="shared" si="6"/>
        <v/>
      </c>
      <c r="W121" s="264"/>
      <c r="X121" s="289" t="str">
        <f t="shared" si="7"/>
        <v/>
      </c>
      <c r="Y121" s="290" t="str">
        <f t="shared" si="8"/>
        <v/>
      </c>
      <c r="Z121" s="291" t="str">
        <f t="shared" si="9"/>
        <v/>
      </c>
      <c r="AA121" s="289" t="str">
        <f t="shared" si="10"/>
        <v/>
      </c>
      <c r="AB121" s="291" t="str">
        <f t="shared" si="11"/>
        <v/>
      </c>
      <c r="AC121" s="292" t="str">
        <f t="shared" si="12"/>
        <v/>
      </c>
      <c r="AD121" s="281"/>
      <c r="AE121" s="22"/>
    </row>
    <row r="122">
      <c r="A122" s="264"/>
      <c r="B122" s="267"/>
      <c r="C122" s="265"/>
      <c r="D122" s="265"/>
      <c r="E122" s="265"/>
      <c r="F122" s="266"/>
      <c r="G122" s="267" t="str">
        <f t="shared" si="1"/>
        <v/>
      </c>
      <c r="H122" s="264"/>
      <c r="I122" s="282"/>
      <c r="J122" s="282"/>
      <c r="K122" s="282"/>
      <c r="L122" s="282"/>
      <c r="M122" s="269"/>
      <c r="N122" s="283" t="str">
        <f t="array" ref="N122">if(C122=0,"",INDEX('Biaya Administrasi'!E:E, MATCH(I122, 'Biaya Administrasi'!B:B, 0)))</f>
        <v/>
      </c>
      <c r="O122" s="284" t="str">
        <f t="shared" si="2"/>
        <v/>
      </c>
      <c r="P122" s="285" t="str">
        <f t="array" ref="P122">if(J122=0,"",INDEX('Biaya Gratis Ongkir Xtra'!D:D, MATCH(J122, 'Biaya Gratis Ongkir Xtra'!C:C, 0)))</f>
        <v/>
      </c>
      <c r="Q122" s="286" t="str">
        <f t="shared" si="3"/>
        <v/>
      </c>
      <c r="R122" s="287" t="str">
        <f t="array" ref="R122">if(K122=0,"",INDEX('Biaya Gratis Ongkir Xtra'!$C$7:$C$10, MATCH(K122, 'Biaya Gratis Ongkir Xtra'!$B$7:$B$10, 0)))</f>
        <v/>
      </c>
      <c r="S122" s="288" t="str">
        <f t="shared" si="4"/>
        <v/>
      </c>
      <c r="T122" s="273" t="str">
        <f t="shared" si="13"/>
        <v/>
      </c>
      <c r="U122" s="287" t="str">
        <f t="array" ref="U122">if(C122=0,"",INDEX('Biaya Gratis Ongkir Xtra'!$C$3:$C$4, MATCH(L122, 'Biaya Gratis Ongkir Xtra'!$B$3:$B$4, 0)))</f>
        <v/>
      </c>
      <c r="V122" s="288" t="str">
        <f t="shared" si="6"/>
        <v/>
      </c>
      <c r="W122" s="264"/>
      <c r="X122" s="289" t="str">
        <f t="shared" si="7"/>
        <v/>
      </c>
      <c r="Y122" s="290" t="str">
        <f t="shared" si="8"/>
        <v/>
      </c>
      <c r="Z122" s="291" t="str">
        <f t="shared" si="9"/>
        <v/>
      </c>
      <c r="AA122" s="289" t="str">
        <f t="shared" si="10"/>
        <v/>
      </c>
      <c r="AB122" s="291" t="str">
        <f t="shared" si="11"/>
        <v/>
      </c>
      <c r="AC122" s="292" t="str">
        <f t="shared" si="12"/>
        <v/>
      </c>
      <c r="AD122" s="281"/>
      <c r="AE122" s="22"/>
    </row>
    <row r="123">
      <c r="A123" s="264"/>
      <c r="B123" s="267"/>
      <c r="C123" s="265"/>
      <c r="D123" s="265"/>
      <c r="E123" s="265"/>
      <c r="F123" s="266"/>
      <c r="G123" s="267" t="str">
        <f t="shared" si="1"/>
        <v/>
      </c>
      <c r="H123" s="264"/>
      <c r="I123" s="282"/>
      <c r="J123" s="282"/>
      <c r="K123" s="282"/>
      <c r="L123" s="282"/>
      <c r="M123" s="269"/>
      <c r="N123" s="283" t="str">
        <f t="array" ref="N123">if(C123=0,"",INDEX('Biaya Administrasi'!E:E, MATCH(I123, 'Biaya Administrasi'!B:B, 0)))</f>
        <v/>
      </c>
      <c r="O123" s="284" t="str">
        <f t="shared" si="2"/>
        <v/>
      </c>
      <c r="P123" s="285" t="str">
        <f t="array" ref="P123">if(J123=0,"",INDEX('Biaya Gratis Ongkir Xtra'!D:D, MATCH(J123, 'Biaya Gratis Ongkir Xtra'!C:C, 0)))</f>
        <v/>
      </c>
      <c r="Q123" s="286" t="str">
        <f t="shared" si="3"/>
        <v/>
      </c>
      <c r="R123" s="287" t="str">
        <f t="array" ref="R123">if(K123=0,"",INDEX('Biaya Gratis Ongkir Xtra'!$C$7:$C$10, MATCH(K123, 'Biaya Gratis Ongkir Xtra'!$B$7:$B$10, 0)))</f>
        <v/>
      </c>
      <c r="S123" s="288" t="str">
        <f t="shared" si="4"/>
        <v/>
      </c>
      <c r="T123" s="273" t="str">
        <f t="shared" si="13"/>
        <v/>
      </c>
      <c r="U123" s="287" t="str">
        <f t="array" ref="U123">if(C123=0,"",INDEX('Biaya Gratis Ongkir Xtra'!$C$3:$C$4, MATCH(L123, 'Biaya Gratis Ongkir Xtra'!$B$3:$B$4, 0)))</f>
        <v/>
      </c>
      <c r="V123" s="288" t="str">
        <f t="shared" si="6"/>
        <v/>
      </c>
      <c r="W123" s="264"/>
      <c r="X123" s="289" t="str">
        <f t="shared" si="7"/>
        <v/>
      </c>
      <c r="Y123" s="290" t="str">
        <f t="shared" si="8"/>
        <v/>
      </c>
      <c r="Z123" s="291" t="str">
        <f t="shared" si="9"/>
        <v/>
      </c>
      <c r="AA123" s="289" t="str">
        <f t="shared" si="10"/>
        <v/>
      </c>
      <c r="AB123" s="291" t="str">
        <f t="shared" si="11"/>
        <v/>
      </c>
      <c r="AC123" s="292" t="str">
        <f t="shared" si="12"/>
        <v/>
      </c>
      <c r="AD123" s="281"/>
      <c r="AE123" s="22"/>
    </row>
    <row r="124">
      <c r="A124" s="264"/>
      <c r="B124" s="267"/>
      <c r="C124" s="265"/>
      <c r="D124" s="265"/>
      <c r="E124" s="265"/>
      <c r="F124" s="266"/>
      <c r="G124" s="267" t="str">
        <f t="shared" si="1"/>
        <v/>
      </c>
      <c r="H124" s="264"/>
      <c r="I124" s="282"/>
      <c r="J124" s="282"/>
      <c r="K124" s="282"/>
      <c r="L124" s="282"/>
      <c r="M124" s="269"/>
      <c r="N124" s="283" t="str">
        <f t="array" ref="N124">if(C124=0,"",INDEX('Biaya Administrasi'!E:E, MATCH(I124, 'Biaya Administrasi'!B:B, 0)))</f>
        <v/>
      </c>
      <c r="O124" s="284" t="str">
        <f t="shared" si="2"/>
        <v/>
      </c>
      <c r="P124" s="285" t="str">
        <f t="array" ref="P124">if(J124=0,"",INDEX('Biaya Gratis Ongkir Xtra'!D:D, MATCH(J124, 'Biaya Gratis Ongkir Xtra'!C:C, 0)))</f>
        <v/>
      </c>
      <c r="Q124" s="286" t="str">
        <f t="shared" si="3"/>
        <v/>
      </c>
      <c r="R124" s="287" t="str">
        <f t="array" ref="R124">if(K124=0,"",INDEX('Biaya Gratis Ongkir Xtra'!$C$7:$C$10, MATCH(K124, 'Biaya Gratis Ongkir Xtra'!$B$7:$B$10, 0)))</f>
        <v/>
      </c>
      <c r="S124" s="288" t="str">
        <f t="shared" si="4"/>
        <v/>
      </c>
      <c r="T124" s="273" t="str">
        <f t="shared" si="13"/>
        <v/>
      </c>
      <c r="U124" s="287" t="str">
        <f t="array" ref="U124">if(C124=0,"",INDEX('Biaya Gratis Ongkir Xtra'!$C$3:$C$4, MATCH(L124, 'Biaya Gratis Ongkir Xtra'!$B$3:$B$4, 0)))</f>
        <v/>
      </c>
      <c r="V124" s="288" t="str">
        <f t="shared" si="6"/>
        <v/>
      </c>
      <c r="W124" s="264"/>
      <c r="X124" s="289" t="str">
        <f t="shared" si="7"/>
        <v/>
      </c>
      <c r="Y124" s="290" t="str">
        <f t="shared" si="8"/>
        <v/>
      </c>
      <c r="Z124" s="291" t="str">
        <f t="shared" si="9"/>
        <v/>
      </c>
      <c r="AA124" s="289" t="str">
        <f t="shared" si="10"/>
        <v/>
      </c>
      <c r="AB124" s="291" t="str">
        <f t="shared" si="11"/>
        <v/>
      </c>
      <c r="AC124" s="292" t="str">
        <f t="shared" si="12"/>
        <v/>
      </c>
      <c r="AD124" s="281"/>
      <c r="AE124" s="22"/>
    </row>
    <row r="125">
      <c r="A125" s="264"/>
      <c r="B125" s="267"/>
      <c r="C125" s="265"/>
      <c r="D125" s="265"/>
      <c r="E125" s="265"/>
      <c r="F125" s="266"/>
      <c r="G125" s="267" t="str">
        <f t="shared" si="1"/>
        <v/>
      </c>
      <c r="H125" s="264"/>
      <c r="I125" s="282"/>
      <c r="J125" s="282"/>
      <c r="K125" s="282"/>
      <c r="L125" s="282"/>
      <c r="M125" s="269"/>
      <c r="N125" s="283" t="str">
        <f t="array" ref="N125">if(C125=0,"",INDEX('Biaya Administrasi'!E:E, MATCH(I125, 'Biaya Administrasi'!B:B, 0)))</f>
        <v/>
      </c>
      <c r="O125" s="284" t="str">
        <f t="shared" si="2"/>
        <v/>
      </c>
      <c r="P125" s="285" t="str">
        <f t="array" ref="P125">if(J125=0,"",INDEX('Biaya Gratis Ongkir Xtra'!D:D, MATCH(J125, 'Biaya Gratis Ongkir Xtra'!C:C, 0)))</f>
        <v/>
      </c>
      <c r="Q125" s="286" t="str">
        <f t="shared" si="3"/>
        <v/>
      </c>
      <c r="R125" s="287" t="str">
        <f t="array" ref="R125">if(K125=0,"",INDEX('Biaya Gratis Ongkir Xtra'!$C$7:$C$10, MATCH(K125, 'Biaya Gratis Ongkir Xtra'!$B$7:$B$10, 0)))</f>
        <v/>
      </c>
      <c r="S125" s="288" t="str">
        <f t="shared" si="4"/>
        <v/>
      </c>
      <c r="T125" s="273" t="str">
        <f t="shared" si="13"/>
        <v/>
      </c>
      <c r="U125" s="287" t="str">
        <f t="array" ref="U125">if(C125=0,"",INDEX('Biaya Gratis Ongkir Xtra'!$C$3:$C$4, MATCH(L125, 'Biaya Gratis Ongkir Xtra'!$B$3:$B$4, 0)))</f>
        <v/>
      </c>
      <c r="V125" s="288" t="str">
        <f t="shared" si="6"/>
        <v/>
      </c>
      <c r="W125" s="264"/>
      <c r="X125" s="289" t="str">
        <f t="shared" si="7"/>
        <v/>
      </c>
      <c r="Y125" s="290" t="str">
        <f t="shared" si="8"/>
        <v/>
      </c>
      <c r="Z125" s="291" t="str">
        <f t="shared" si="9"/>
        <v/>
      </c>
      <c r="AA125" s="289" t="str">
        <f t="shared" si="10"/>
        <v/>
      </c>
      <c r="AB125" s="291" t="str">
        <f t="shared" si="11"/>
        <v/>
      </c>
      <c r="AC125" s="292" t="str">
        <f t="shared" si="12"/>
        <v/>
      </c>
      <c r="AD125" s="281"/>
      <c r="AE125" s="22"/>
    </row>
    <row r="126">
      <c r="A126" s="264"/>
      <c r="B126" s="267"/>
      <c r="C126" s="265"/>
      <c r="D126" s="265"/>
      <c r="E126" s="265"/>
      <c r="F126" s="266"/>
      <c r="G126" s="267" t="str">
        <f t="shared" si="1"/>
        <v/>
      </c>
      <c r="H126" s="264"/>
      <c r="I126" s="282"/>
      <c r="J126" s="282"/>
      <c r="K126" s="282"/>
      <c r="L126" s="282"/>
      <c r="M126" s="269"/>
      <c r="N126" s="283" t="str">
        <f t="array" ref="N126">if(C126=0,"",INDEX('Biaya Administrasi'!E:E, MATCH(I126, 'Biaya Administrasi'!B:B, 0)))</f>
        <v/>
      </c>
      <c r="O126" s="284" t="str">
        <f t="shared" si="2"/>
        <v/>
      </c>
      <c r="P126" s="285" t="str">
        <f t="array" ref="P126">if(J126=0,"",INDEX('Biaya Gratis Ongkir Xtra'!D:D, MATCH(J126, 'Biaya Gratis Ongkir Xtra'!C:C, 0)))</f>
        <v/>
      </c>
      <c r="Q126" s="286" t="str">
        <f t="shared" si="3"/>
        <v/>
      </c>
      <c r="R126" s="287" t="str">
        <f t="array" ref="R126">if(K126=0,"",INDEX('Biaya Gratis Ongkir Xtra'!$C$7:$C$10, MATCH(K126, 'Biaya Gratis Ongkir Xtra'!$B$7:$B$10, 0)))</f>
        <v/>
      </c>
      <c r="S126" s="288" t="str">
        <f t="shared" si="4"/>
        <v/>
      </c>
      <c r="T126" s="273" t="str">
        <f t="shared" si="13"/>
        <v/>
      </c>
      <c r="U126" s="287" t="str">
        <f t="array" ref="U126">if(C126=0,"",INDEX('Biaya Gratis Ongkir Xtra'!$C$3:$C$4, MATCH(L126, 'Biaya Gratis Ongkir Xtra'!$B$3:$B$4, 0)))</f>
        <v/>
      </c>
      <c r="V126" s="288" t="str">
        <f t="shared" si="6"/>
        <v/>
      </c>
      <c r="W126" s="264"/>
      <c r="X126" s="289" t="str">
        <f t="shared" si="7"/>
        <v/>
      </c>
      <c r="Y126" s="290" t="str">
        <f t="shared" si="8"/>
        <v/>
      </c>
      <c r="Z126" s="291" t="str">
        <f t="shared" si="9"/>
        <v/>
      </c>
      <c r="AA126" s="289" t="str">
        <f t="shared" si="10"/>
        <v/>
      </c>
      <c r="AB126" s="291" t="str">
        <f t="shared" si="11"/>
        <v/>
      </c>
      <c r="AC126" s="292" t="str">
        <f t="shared" si="12"/>
        <v/>
      </c>
      <c r="AD126" s="281"/>
      <c r="AE126" s="22"/>
    </row>
    <row r="127">
      <c r="A127" s="264"/>
      <c r="B127" s="267"/>
      <c r="C127" s="265"/>
      <c r="D127" s="265"/>
      <c r="E127" s="265"/>
      <c r="F127" s="266"/>
      <c r="G127" s="267" t="str">
        <f t="shared" si="1"/>
        <v/>
      </c>
      <c r="H127" s="264"/>
      <c r="I127" s="282"/>
      <c r="J127" s="282"/>
      <c r="K127" s="282"/>
      <c r="L127" s="282"/>
      <c r="M127" s="269"/>
      <c r="N127" s="283" t="str">
        <f t="array" ref="N127">if(C127=0,"",INDEX('Biaya Administrasi'!E:E, MATCH(I127, 'Biaya Administrasi'!B:B, 0)))</f>
        <v/>
      </c>
      <c r="O127" s="284" t="str">
        <f t="shared" si="2"/>
        <v/>
      </c>
      <c r="P127" s="285" t="str">
        <f t="array" ref="P127">if(J127=0,"",INDEX('Biaya Gratis Ongkir Xtra'!D:D, MATCH(J127, 'Biaya Gratis Ongkir Xtra'!C:C, 0)))</f>
        <v/>
      </c>
      <c r="Q127" s="286" t="str">
        <f t="shared" si="3"/>
        <v/>
      </c>
      <c r="R127" s="287" t="str">
        <f t="array" ref="R127">if(K127=0,"",INDEX('Biaya Gratis Ongkir Xtra'!$C$7:$C$10, MATCH(K127, 'Biaya Gratis Ongkir Xtra'!$B$7:$B$10, 0)))</f>
        <v/>
      </c>
      <c r="S127" s="288" t="str">
        <f t="shared" si="4"/>
        <v/>
      </c>
      <c r="T127" s="273" t="str">
        <f t="shared" si="13"/>
        <v/>
      </c>
      <c r="U127" s="287" t="str">
        <f t="array" ref="U127">if(C127=0,"",INDEX('Biaya Gratis Ongkir Xtra'!$C$3:$C$4, MATCH(L127, 'Biaya Gratis Ongkir Xtra'!$B$3:$B$4, 0)))</f>
        <v/>
      </c>
      <c r="V127" s="288" t="str">
        <f t="shared" si="6"/>
        <v/>
      </c>
      <c r="W127" s="264"/>
      <c r="X127" s="289" t="str">
        <f t="shared" si="7"/>
        <v/>
      </c>
      <c r="Y127" s="290" t="str">
        <f t="shared" si="8"/>
        <v/>
      </c>
      <c r="Z127" s="291" t="str">
        <f t="shared" si="9"/>
        <v/>
      </c>
      <c r="AA127" s="289" t="str">
        <f t="shared" si="10"/>
        <v/>
      </c>
      <c r="AB127" s="291" t="str">
        <f t="shared" si="11"/>
        <v/>
      </c>
      <c r="AC127" s="292" t="str">
        <f t="shared" si="12"/>
        <v/>
      </c>
      <c r="AD127" s="281"/>
      <c r="AE127" s="22"/>
    </row>
    <row r="128">
      <c r="A128" s="264"/>
      <c r="B128" s="267"/>
      <c r="C128" s="265"/>
      <c r="D128" s="265"/>
      <c r="E128" s="265"/>
      <c r="F128" s="266"/>
      <c r="G128" s="267" t="str">
        <f t="shared" si="1"/>
        <v/>
      </c>
      <c r="H128" s="264"/>
      <c r="I128" s="282"/>
      <c r="J128" s="282"/>
      <c r="K128" s="282"/>
      <c r="L128" s="282"/>
      <c r="M128" s="269"/>
      <c r="N128" s="283" t="str">
        <f t="array" ref="N128">if(C128=0,"",INDEX('Biaya Administrasi'!E:E, MATCH(I128, 'Biaya Administrasi'!B:B, 0)))</f>
        <v/>
      </c>
      <c r="O128" s="284" t="str">
        <f t="shared" si="2"/>
        <v/>
      </c>
      <c r="P128" s="285" t="str">
        <f t="array" ref="P128">if(J128=0,"",INDEX('Biaya Gratis Ongkir Xtra'!D:D, MATCH(J128, 'Biaya Gratis Ongkir Xtra'!C:C, 0)))</f>
        <v/>
      </c>
      <c r="Q128" s="286" t="str">
        <f t="shared" si="3"/>
        <v/>
      </c>
      <c r="R128" s="287" t="str">
        <f t="array" ref="R128">if(K128=0,"",INDEX('Biaya Gratis Ongkir Xtra'!$C$7:$C$10, MATCH(K128, 'Biaya Gratis Ongkir Xtra'!$B$7:$B$10, 0)))</f>
        <v/>
      </c>
      <c r="S128" s="288" t="str">
        <f t="shared" si="4"/>
        <v/>
      </c>
      <c r="T128" s="273" t="str">
        <f t="shared" si="13"/>
        <v/>
      </c>
      <c r="U128" s="287" t="str">
        <f t="array" ref="U128">if(C128=0,"",INDEX('Biaya Gratis Ongkir Xtra'!$C$3:$C$4, MATCH(L128, 'Biaya Gratis Ongkir Xtra'!$B$3:$B$4, 0)))</f>
        <v/>
      </c>
      <c r="V128" s="288" t="str">
        <f t="shared" si="6"/>
        <v/>
      </c>
      <c r="W128" s="264"/>
      <c r="X128" s="289" t="str">
        <f t="shared" si="7"/>
        <v/>
      </c>
      <c r="Y128" s="290" t="str">
        <f t="shared" si="8"/>
        <v/>
      </c>
      <c r="Z128" s="291" t="str">
        <f t="shared" si="9"/>
        <v/>
      </c>
      <c r="AA128" s="289" t="str">
        <f t="shared" si="10"/>
        <v/>
      </c>
      <c r="AB128" s="291" t="str">
        <f t="shared" si="11"/>
        <v/>
      </c>
      <c r="AC128" s="292" t="str">
        <f t="shared" si="12"/>
        <v/>
      </c>
      <c r="AD128" s="281"/>
      <c r="AE128" s="22"/>
    </row>
    <row r="129">
      <c r="A129" s="264"/>
      <c r="B129" s="267"/>
      <c r="C129" s="265"/>
      <c r="D129" s="265"/>
      <c r="E129" s="265"/>
      <c r="F129" s="266"/>
      <c r="G129" s="267" t="str">
        <f t="shared" si="1"/>
        <v/>
      </c>
      <c r="H129" s="264"/>
      <c r="I129" s="282"/>
      <c r="J129" s="282"/>
      <c r="K129" s="282"/>
      <c r="L129" s="282"/>
      <c r="M129" s="269"/>
      <c r="N129" s="283" t="str">
        <f t="array" ref="N129">if(C129=0,"",INDEX('Biaya Administrasi'!E:E, MATCH(I129, 'Biaya Administrasi'!B:B, 0)))</f>
        <v/>
      </c>
      <c r="O129" s="284" t="str">
        <f t="shared" si="2"/>
        <v/>
      </c>
      <c r="P129" s="285" t="str">
        <f t="array" ref="P129">if(J129=0,"",INDEX('Biaya Gratis Ongkir Xtra'!D:D, MATCH(J129, 'Biaya Gratis Ongkir Xtra'!C:C, 0)))</f>
        <v/>
      </c>
      <c r="Q129" s="286" t="str">
        <f t="shared" si="3"/>
        <v/>
      </c>
      <c r="R129" s="287" t="str">
        <f t="array" ref="R129">if(K129=0,"",INDEX('Biaya Gratis Ongkir Xtra'!$C$7:$C$10, MATCH(K129, 'Biaya Gratis Ongkir Xtra'!$B$7:$B$10, 0)))</f>
        <v/>
      </c>
      <c r="S129" s="288" t="str">
        <f t="shared" si="4"/>
        <v/>
      </c>
      <c r="T129" s="273" t="str">
        <f t="shared" si="13"/>
        <v/>
      </c>
      <c r="U129" s="287" t="str">
        <f t="array" ref="U129">if(C129=0,"",INDEX('Biaya Gratis Ongkir Xtra'!$C$3:$C$4, MATCH(L129, 'Biaya Gratis Ongkir Xtra'!$B$3:$B$4, 0)))</f>
        <v/>
      </c>
      <c r="V129" s="288" t="str">
        <f t="shared" si="6"/>
        <v/>
      </c>
      <c r="W129" s="264"/>
      <c r="X129" s="289" t="str">
        <f t="shared" si="7"/>
        <v/>
      </c>
      <c r="Y129" s="290" t="str">
        <f t="shared" si="8"/>
        <v/>
      </c>
      <c r="Z129" s="291" t="str">
        <f t="shared" si="9"/>
        <v/>
      </c>
      <c r="AA129" s="289" t="str">
        <f t="shared" si="10"/>
        <v/>
      </c>
      <c r="AB129" s="291" t="str">
        <f t="shared" si="11"/>
        <v/>
      </c>
      <c r="AC129" s="292" t="str">
        <f t="shared" si="12"/>
        <v/>
      </c>
      <c r="AD129" s="281"/>
      <c r="AE129" s="22"/>
    </row>
    <row r="130">
      <c r="A130" s="264"/>
      <c r="B130" s="267"/>
      <c r="C130" s="265"/>
      <c r="D130" s="265"/>
      <c r="E130" s="265"/>
      <c r="F130" s="266"/>
      <c r="G130" s="267" t="str">
        <f t="shared" si="1"/>
        <v/>
      </c>
      <c r="H130" s="264"/>
      <c r="I130" s="282"/>
      <c r="J130" s="282"/>
      <c r="K130" s="282"/>
      <c r="L130" s="282"/>
      <c r="M130" s="269"/>
      <c r="N130" s="283" t="str">
        <f t="array" ref="N130">if(C130=0,"",INDEX('Biaya Administrasi'!E:E, MATCH(I130, 'Biaya Administrasi'!B:B, 0)))</f>
        <v/>
      </c>
      <c r="O130" s="284" t="str">
        <f t="shared" si="2"/>
        <v/>
      </c>
      <c r="P130" s="285" t="str">
        <f t="array" ref="P130">if(J130=0,"",INDEX('Biaya Gratis Ongkir Xtra'!D:D, MATCH(J130, 'Biaya Gratis Ongkir Xtra'!C:C, 0)))</f>
        <v/>
      </c>
      <c r="Q130" s="286" t="str">
        <f t="shared" si="3"/>
        <v/>
      </c>
      <c r="R130" s="287" t="str">
        <f t="array" ref="R130">if(K130=0,"",INDEX('Biaya Gratis Ongkir Xtra'!$C$7:$C$10, MATCH(K130, 'Biaya Gratis Ongkir Xtra'!$B$7:$B$10, 0)))</f>
        <v/>
      </c>
      <c r="S130" s="288" t="str">
        <f t="shared" si="4"/>
        <v/>
      </c>
      <c r="T130" s="273" t="str">
        <f t="shared" si="13"/>
        <v/>
      </c>
      <c r="U130" s="287" t="str">
        <f t="array" ref="U130">if(C130=0,"",INDEX('Biaya Gratis Ongkir Xtra'!$C$3:$C$4, MATCH(L130, 'Biaya Gratis Ongkir Xtra'!$B$3:$B$4, 0)))</f>
        <v/>
      </c>
      <c r="V130" s="288" t="str">
        <f t="shared" si="6"/>
        <v/>
      </c>
      <c r="W130" s="264"/>
      <c r="X130" s="289" t="str">
        <f t="shared" si="7"/>
        <v/>
      </c>
      <c r="Y130" s="290" t="str">
        <f t="shared" si="8"/>
        <v/>
      </c>
      <c r="Z130" s="291" t="str">
        <f t="shared" si="9"/>
        <v/>
      </c>
      <c r="AA130" s="289" t="str">
        <f t="shared" si="10"/>
        <v/>
      </c>
      <c r="AB130" s="291" t="str">
        <f t="shared" si="11"/>
        <v/>
      </c>
      <c r="AC130" s="292" t="str">
        <f t="shared" si="12"/>
        <v/>
      </c>
      <c r="AD130" s="281"/>
      <c r="AE130" s="22"/>
    </row>
    <row r="131">
      <c r="A131" s="264"/>
      <c r="B131" s="267"/>
      <c r="C131" s="265"/>
      <c r="D131" s="265"/>
      <c r="E131" s="265"/>
      <c r="F131" s="266"/>
      <c r="G131" s="267" t="str">
        <f t="shared" si="1"/>
        <v/>
      </c>
      <c r="H131" s="264"/>
      <c r="I131" s="282"/>
      <c r="J131" s="282"/>
      <c r="K131" s="282"/>
      <c r="L131" s="282"/>
      <c r="M131" s="269"/>
      <c r="N131" s="283" t="str">
        <f t="array" ref="N131">if(C131=0,"",INDEX('Biaya Administrasi'!E:E, MATCH(I131, 'Biaya Administrasi'!B:B, 0)))</f>
        <v/>
      </c>
      <c r="O131" s="284" t="str">
        <f t="shared" si="2"/>
        <v/>
      </c>
      <c r="P131" s="285" t="str">
        <f t="array" ref="P131">if(J131=0,"",INDEX('Biaya Gratis Ongkir Xtra'!D:D, MATCH(J131, 'Biaya Gratis Ongkir Xtra'!C:C, 0)))</f>
        <v/>
      </c>
      <c r="Q131" s="286" t="str">
        <f t="shared" si="3"/>
        <v/>
      </c>
      <c r="R131" s="287" t="str">
        <f t="array" ref="R131">if(K131=0,"",INDEX('Biaya Gratis Ongkir Xtra'!$C$7:$C$10, MATCH(K131, 'Biaya Gratis Ongkir Xtra'!$B$7:$B$10, 0)))</f>
        <v/>
      </c>
      <c r="S131" s="288" t="str">
        <f t="shared" si="4"/>
        <v/>
      </c>
      <c r="T131" s="273" t="str">
        <f t="shared" si="13"/>
        <v/>
      </c>
      <c r="U131" s="287" t="str">
        <f t="array" ref="U131">if(C131=0,"",INDEX('Biaya Gratis Ongkir Xtra'!$C$3:$C$4, MATCH(L131, 'Biaya Gratis Ongkir Xtra'!$B$3:$B$4, 0)))</f>
        <v/>
      </c>
      <c r="V131" s="288" t="str">
        <f t="shared" si="6"/>
        <v/>
      </c>
      <c r="W131" s="264"/>
      <c r="X131" s="289" t="str">
        <f t="shared" si="7"/>
        <v/>
      </c>
      <c r="Y131" s="290" t="str">
        <f t="shared" si="8"/>
        <v/>
      </c>
      <c r="Z131" s="291" t="str">
        <f t="shared" si="9"/>
        <v/>
      </c>
      <c r="AA131" s="289" t="str">
        <f t="shared" si="10"/>
        <v/>
      </c>
      <c r="AB131" s="291" t="str">
        <f t="shared" si="11"/>
        <v/>
      </c>
      <c r="AC131" s="292" t="str">
        <f t="shared" si="12"/>
        <v/>
      </c>
      <c r="AD131" s="281"/>
      <c r="AE131" s="22"/>
    </row>
    <row r="132">
      <c r="A132" s="264"/>
      <c r="B132" s="267"/>
      <c r="C132" s="265"/>
      <c r="D132" s="265"/>
      <c r="E132" s="265"/>
      <c r="F132" s="266"/>
      <c r="G132" s="267" t="str">
        <f t="shared" si="1"/>
        <v/>
      </c>
      <c r="H132" s="264"/>
      <c r="I132" s="282"/>
      <c r="J132" s="282"/>
      <c r="K132" s="282"/>
      <c r="L132" s="282"/>
      <c r="M132" s="269"/>
      <c r="N132" s="283" t="str">
        <f t="array" ref="N132">if(C132=0,"",INDEX('Biaya Administrasi'!E:E, MATCH(I132, 'Biaya Administrasi'!B:B, 0)))</f>
        <v/>
      </c>
      <c r="O132" s="284" t="str">
        <f t="shared" si="2"/>
        <v/>
      </c>
      <c r="P132" s="285" t="str">
        <f t="array" ref="P132">if(J132=0,"",INDEX('Biaya Gratis Ongkir Xtra'!D:D, MATCH(J132, 'Biaya Gratis Ongkir Xtra'!C:C, 0)))</f>
        <v/>
      </c>
      <c r="Q132" s="286" t="str">
        <f t="shared" si="3"/>
        <v/>
      </c>
      <c r="R132" s="287" t="str">
        <f t="array" ref="R132">if(K132=0,"",INDEX('Biaya Gratis Ongkir Xtra'!$C$7:$C$10, MATCH(K132, 'Biaya Gratis Ongkir Xtra'!$B$7:$B$10, 0)))</f>
        <v/>
      </c>
      <c r="S132" s="288" t="str">
        <f t="shared" si="4"/>
        <v/>
      </c>
      <c r="T132" s="273" t="str">
        <f t="shared" si="13"/>
        <v/>
      </c>
      <c r="U132" s="287" t="str">
        <f t="array" ref="U132">if(C132=0,"",INDEX('Biaya Gratis Ongkir Xtra'!$C$3:$C$4, MATCH(L132, 'Biaya Gratis Ongkir Xtra'!$B$3:$B$4, 0)))</f>
        <v/>
      </c>
      <c r="V132" s="288" t="str">
        <f t="shared" si="6"/>
        <v/>
      </c>
      <c r="W132" s="264"/>
      <c r="X132" s="289" t="str">
        <f t="shared" si="7"/>
        <v/>
      </c>
      <c r="Y132" s="290" t="str">
        <f t="shared" si="8"/>
        <v/>
      </c>
      <c r="Z132" s="291" t="str">
        <f t="shared" si="9"/>
        <v/>
      </c>
      <c r="AA132" s="289" t="str">
        <f t="shared" si="10"/>
        <v/>
      </c>
      <c r="AB132" s="291" t="str">
        <f t="shared" si="11"/>
        <v/>
      </c>
      <c r="AC132" s="292" t="str">
        <f t="shared" si="12"/>
        <v/>
      </c>
      <c r="AD132" s="281"/>
      <c r="AE132" s="22"/>
    </row>
    <row r="133">
      <c r="A133" s="264"/>
      <c r="B133" s="267"/>
      <c r="C133" s="265"/>
      <c r="D133" s="265"/>
      <c r="E133" s="265"/>
      <c r="F133" s="266"/>
      <c r="G133" s="267" t="str">
        <f t="shared" si="1"/>
        <v/>
      </c>
      <c r="H133" s="264"/>
      <c r="I133" s="282"/>
      <c r="J133" s="282"/>
      <c r="K133" s="282"/>
      <c r="L133" s="282"/>
      <c r="M133" s="269"/>
      <c r="N133" s="283" t="str">
        <f t="array" ref="N133">if(C133=0,"",INDEX('Biaya Administrasi'!E:E, MATCH(I133, 'Biaya Administrasi'!B:B, 0)))</f>
        <v/>
      </c>
      <c r="O133" s="284" t="str">
        <f t="shared" si="2"/>
        <v/>
      </c>
      <c r="P133" s="285" t="str">
        <f t="array" ref="P133">if(J133=0,"",INDEX('Biaya Gratis Ongkir Xtra'!D:D, MATCH(J133, 'Biaya Gratis Ongkir Xtra'!C:C, 0)))</f>
        <v/>
      </c>
      <c r="Q133" s="286" t="str">
        <f t="shared" si="3"/>
        <v/>
      </c>
      <c r="R133" s="287" t="str">
        <f t="array" ref="R133">if(K133=0,"",INDEX('Biaya Gratis Ongkir Xtra'!$C$7:$C$10, MATCH(K133, 'Biaya Gratis Ongkir Xtra'!$B$7:$B$10, 0)))</f>
        <v/>
      </c>
      <c r="S133" s="288" t="str">
        <f t="shared" si="4"/>
        <v/>
      </c>
      <c r="T133" s="273" t="str">
        <f t="shared" si="13"/>
        <v/>
      </c>
      <c r="U133" s="287" t="str">
        <f t="array" ref="U133">if(C133=0,"",INDEX('Biaya Gratis Ongkir Xtra'!$C$3:$C$4, MATCH(L133, 'Biaya Gratis Ongkir Xtra'!$B$3:$B$4, 0)))</f>
        <v/>
      </c>
      <c r="V133" s="288" t="str">
        <f t="shared" si="6"/>
        <v/>
      </c>
      <c r="W133" s="264"/>
      <c r="X133" s="289" t="str">
        <f t="shared" si="7"/>
        <v/>
      </c>
      <c r="Y133" s="290" t="str">
        <f t="shared" si="8"/>
        <v/>
      </c>
      <c r="Z133" s="291" t="str">
        <f t="shared" si="9"/>
        <v/>
      </c>
      <c r="AA133" s="289" t="str">
        <f t="shared" si="10"/>
        <v/>
      </c>
      <c r="AB133" s="291" t="str">
        <f t="shared" si="11"/>
        <v/>
      </c>
      <c r="AC133" s="292" t="str">
        <f t="shared" si="12"/>
        <v/>
      </c>
      <c r="AD133" s="281"/>
      <c r="AE133" s="22"/>
    </row>
    <row r="134">
      <c r="A134" s="264"/>
      <c r="B134" s="267"/>
      <c r="C134" s="265"/>
      <c r="D134" s="265"/>
      <c r="E134" s="265"/>
      <c r="F134" s="266"/>
      <c r="G134" s="267" t="str">
        <f t="shared" si="1"/>
        <v/>
      </c>
      <c r="H134" s="264"/>
      <c r="I134" s="282"/>
      <c r="J134" s="282"/>
      <c r="K134" s="282"/>
      <c r="L134" s="282"/>
      <c r="M134" s="269"/>
      <c r="N134" s="283" t="str">
        <f t="array" ref="N134">if(C134=0,"",INDEX('Biaya Administrasi'!E:E, MATCH(I134, 'Biaya Administrasi'!B:B, 0)))</f>
        <v/>
      </c>
      <c r="O134" s="284" t="str">
        <f t="shared" si="2"/>
        <v/>
      </c>
      <c r="P134" s="285" t="str">
        <f t="array" ref="P134">if(J134=0,"",INDEX('Biaya Gratis Ongkir Xtra'!D:D, MATCH(J134, 'Biaya Gratis Ongkir Xtra'!C:C, 0)))</f>
        <v/>
      </c>
      <c r="Q134" s="286" t="str">
        <f t="shared" si="3"/>
        <v/>
      </c>
      <c r="R134" s="287" t="str">
        <f t="array" ref="R134">if(K134=0,"",INDEX('Biaya Gratis Ongkir Xtra'!$C$7:$C$10, MATCH(K134, 'Biaya Gratis Ongkir Xtra'!$B$7:$B$10, 0)))</f>
        <v/>
      </c>
      <c r="S134" s="288" t="str">
        <f t="shared" si="4"/>
        <v/>
      </c>
      <c r="T134" s="273" t="str">
        <f t="shared" si="13"/>
        <v/>
      </c>
      <c r="U134" s="287" t="str">
        <f t="array" ref="U134">if(C134=0,"",INDEX('Biaya Gratis Ongkir Xtra'!$C$3:$C$4, MATCH(L134, 'Biaya Gratis Ongkir Xtra'!$B$3:$B$4, 0)))</f>
        <v/>
      </c>
      <c r="V134" s="288" t="str">
        <f t="shared" si="6"/>
        <v/>
      </c>
      <c r="W134" s="264"/>
      <c r="X134" s="289" t="str">
        <f t="shared" si="7"/>
        <v/>
      </c>
      <c r="Y134" s="290" t="str">
        <f t="shared" si="8"/>
        <v/>
      </c>
      <c r="Z134" s="291" t="str">
        <f t="shared" si="9"/>
        <v/>
      </c>
      <c r="AA134" s="289" t="str">
        <f t="shared" si="10"/>
        <v/>
      </c>
      <c r="AB134" s="291" t="str">
        <f t="shared" si="11"/>
        <v/>
      </c>
      <c r="AC134" s="292" t="str">
        <f t="shared" si="12"/>
        <v/>
      </c>
      <c r="AD134" s="281"/>
      <c r="AE134" s="22"/>
    </row>
    <row r="135">
      <c r="A135" s="264"/>
      <c r="B135" s="267"/>
      <c r="C135" s="265"/>
      <c r="D135" s="265"/>
      <c r="E135" s="265"/>
      <c r="F135" s="266"/>
      <c r="G135" s="267" t="str">
        <f t="shared" si="1"/>
        <v/>
      </c>
      <c r="H135" s="264"/>
      <c r="I135" s="282"/>
      <c r="J135" s="282"/>
      <c r="K135" s="282"/>
      <c r="L135" s="282"/>
      <c r="M135" s="269"/>
      <c r="N135" s="283" t="str">
        <f t="array" ref="N135">if(C135=0,"",INDEX('Biaya Administrasi'!E:E, MATCH(I135, 'Biaya Administrasi'!B:B, 0)))</f>
        <v/>
      </c>
      <c r="O135" s="284" t="str">
        <f t="shared" si="2"/>
        <v/>
      </c>
      <c r="P135" s="285" t="str">
        <f t="array" ref="P135">if(J135=0,"",INDEX('Biaya Gratis Ongkir Xtra'!D:D, MATCH(J135, 'Biaya Gratis Ongkir Xtra'!C:C, 0)))</f>
        <v/>
      </c>
      <c r="Q135" s="286" t="str">
        <f t="shared" si="3"/>
        <v/>
      </c>
      <c r="R135" s="287" t="str">
        <f t="array" ref="R135">if(K135=0,"",INDEX('Biaya Gratis Ongkir Xtra'!$C$7:$C$10, MATCH(K135, 'Biaya Gratis Ongkir Xtra'!$B$7:$B$10, 0)))</f>
        <v/>
      </c>
      <c r="S135" s="288" t="str">
        <f t="shared" si="4"/>
        <v/>
      </c>
      <c r="T135" s="273" t="str">
        <f t="shared" si="13"/>
        <v/>
      </c>
      <c r="U135" s="287" t="str">
        <f t="array" ref="U135">if(C135=0,"",INDEX('Biaya Gratis Ongkir Xtra'!$C$3:$C$4, MATCH(L135, 'Biaya Gratis Ongkir Xtra'!$B$3:$B$4, 0)))</f>
        <v/>
      </c>
      <c r="V135" s="288" t="str">
        <f t="shared" si="6"/>
        <v/>
      </c>
      <c r="W135" s="264"/>
      <c r="X135" s="289" t="str">
        <f t="shared" si="7"/>
        <v/>
      </c>
      <c r="Y135" s="290" t="str">
        <f t="shared" si="8"/>
        <v/>
      </c>
      <c r="Z135" s="291" t="str">
        <f t="shared" si="9"/>
        <v/>
      </c>
      <c r="AA135" s="289" t="str">
        <f t="shared" si="10"/>
        <v/>
      </c>
      <c r="AB135" s="291" t="str">
        <f t="shared" si="11"/>
        <v/>
      </c>
      <c r="AC135" s="292" t="str">
        <f t="shared" si="12"/>
        <v/>
      </c>
      <c r="AD135" s="281"/>
      <c r="AE135" s="22"/>
    </row>
    <row r="136">
      <c r="A136" s="264"/>
      <c r="B136" s="267"/>
      <c r="C136" s="265"/>
      <c r="D136" s="265"/>
      <c r="E136" s="265"/>
      <c r="F136" s="266"/>
      <c r="G136" s="267" t="str">
        <f t="shared" si="1"/>
        <v/>
      </c>
      <c r="H136" s="264"/>
      <c r="I136" s="282"/>
      <c r="J136" s="282"/>
      <c r="K136" s="282"/>
      <c r="L136" s="282"/>
      <c r="M136" s="269"/>
      <c r="N136" s="283" t="str">
        <f t="array" ref="N136">if(C136=0,"",INDEX('Biaya Administrasi'!E:E, MATCH(I136, 'Biaya Administrasi'!B:B, 0)))</f>
        <v/>
      </c>
      <c r="O136" s="284" t="str">
        <f t="shared" si="2"/>
        <v/>
      </c>
      <c r="P136" s="285" t="str">
        <f t="array" ref="P136">if(J136=0,"",INDEX('Biaya Gratis Ongkir Xtra'!D:D, MATCH(J136, 'Biaya Gratis Ongkir Xtra'!C:C, 0)))</f>
        <v/>
      </c>
      <c r="Q136" s="286" t="str">
        <f t="shared" si="3"/>
        <v/>
      </c>
      <c r="R136" s="287" t="str">
        <f t="array" ref="R136">if(K136=0,"",INDEX('Biaya Gratis Ongkir Xtra'!$C$7:$C$10, MATCH(K136, 'Biaya Gratis Ongkir Xtra'!$B$7:$B$10, 0)))</f>
        <v/>
      </c>
      <c r="S136" s="288" t="str">
        <f t="shared" si="4"/>
        <v/>
      </c>
      <c r="T136" s="273" t="str">
        <f t="shared" si="13"/>
        <v/>
      </c>
      <c r="U136" s="287" t="str">
        <f t="array" ref="U136">if(C136=0,"",INDEX('Biaya Gratis Ongkir Xtra'!$C$3:$C$4, MATCH(L136, 'Biaya Gratis Ongkir Xtra'!$B$3:$B$4, 0)))</f>
        <v/>
      </c>
      <c r="V136" s="288" t="str">
        <f t="shared" si="6"/>
        <v/>
      </c>
      <c r="W136" s="264"/>
      <c r="X136" s="289" t="str">
        <f t="shared" si="7"/>
        <v/>
      </c>
      <c r="Y136" s="290" t="str">
        <f t="shared" si="8"/>
        <v/>
      </c>
      <c r="Z136" s="291" t="str">
        <f t="shared" si="9"/>
        <v/>
      </c>
      <c r="AA136" s="289" t="str">
        <f t="shared" si="10"/>
        <v/>
      </c>
      <c r="AB136" s="291" t="str">
        <f t="shared" si="11"/>
        <v/>
      </c>
      <c r="AC136" s="292" t="str">
        <f t="shared" si="12"/>
        <v/>
      </c>
      <c r="AD136" s="281"/>
      <c r="AE136" s="22"/>
    </row>
    <row r="137">
      <c r="A137" s="264"/>
      <c r="B137" s="267"/>
      <c r="C137" s="265"/>
      <c r="D137" s="265"/>
      <c r="E137" s="265"/>
      <c r="F137" s="266"/>
      <c r="G137" s="267" t="str">
        <f t="shared" si="1"/>
        <v/>
      </c>
      <c r="H137" s="264"/>
      <c r="I137" s="282"/>
      <c r="J137" s="282"/>
      <c r="K137" s="282"/>
      <c r="L137" s="282"/>
      <c r="M137" s="269"/>
      <c r="N137" s="283" t="str">
        <f t="array" ref="N137">if(C137=0,"",INDEX('Biaya Administrasi'!E:E, MATCH(I137, 'Biaya Administrasi'!B:B, 0)))</f>
        <v/>
      </c>
      <c r="O137" s="284" t="str">
        <f t="shared" si="2"/>
        <v/>
      </c>
      <c r="P137" s="285" t="str">
        <f t="array" ref="P137">if(J137=0,"",INDEX('Biaya Gratis Ongkir Xtra'!D:D, MATCH(J137, 'Biaya Gratis Ongkir Xtra'!C:C, 0)))</f>
        <v/>
      </c>
      <c r="Q137" s="286" t="str">
        <f t="shared" si="3"/>
        <v/>
      </c>
      <c r="R137" s="287" t="str">
        <f t="array" ref="R137">if(K137=0,"",INDEX('Biaya Gratis Ongkir Xtra'!$C$7:$C$10, MATCH(K137, 'Biaya Gratis Ongkir Xtra'!$B$7:$B$10, 0)))</f>
        <v/>
      </c>
      <c r="S137" s="288" t="str">
        <f t="shared" si="4"/>
        <v/>
      </c>
      <c r="T137" s="273" t="str">
        <f t="shared" si="13"/>
        <v/>
      </c>
      <c r="U137" s="287" t="str">
        <f t="array" ref="U137">if(C137=0,"",INDEX('Biaya Gratis Ongkir Xtra'!$C$3:$C$4, MATCH(L137, 'Biaya Gratis Ongkir Xtra'!$B$3:$B$4, 0)))</f>
        <v/>
      </c>
      <c r="V137" s="288" t="str">
        <f t="shared" si="6"/>
        <v/>
      </c>
      <c r="W137" s="264"/>
      <c r="X137" s="289" t="str">
        <f t="shared" si="7"/>
        <v/>
      </c>
      <c r="Y137" s="290" t="str">
        <f t="shared" si="8"/>
        <v/>
      </c>
      <c r="Z137" s="291" t="str">
        <f t="shared" si="9"/>
        <v/>
      </c>
      <c r="AA137" s="289" t="str">
        <f t="shared" si="10"/>
        <v/>
      </c>
      <c r="AB137" s="291" t="str">
        <f t="shared" si="11"/>
        <v/>
      </c>
      <c r="AC137" s="292" t="str">
        <f t="shared" si="12"/>
        <v/>
      </c>
      <c r="AD137" s="281"/>
      <c r="AE137" s="22"/>
    </row>
    <row r="138">
      <c r="A138" s="264"/>
      <c r="B138" s="267"/>
      <c r="C138" s="265"/>
      <c r="D138" s="265"/>
      <c r="E138" s="265"/>
      <c r="F138" s="266"/>
      <c r="G138" s="267" t="str">
        <f t="shared" si="1"/>
        <v/>
      </c>
      <c r="H138" s="264"/>
      <c r="I138" s="282"/>
      <c r="J138" s="282"/>
      <c r="K138" s="282"/>
      <c r="L138" s="282"/>
      <c r="M138" s="269"/>
      <c r="N138" s="283" t="str">
        <f t="array" ref="N138">if(C138=0,"",INDEX('Biaya Administrasi'!E:E, MATCH(I138, 'Biaya Administrasi'!B:B, 0)))</f>
        <v/>
      </c>
      <c r="O138" s="284" t="str">
        <f t="shared" si="2"/>
        <v/>
      </c>
      <c r="P138" s="285" t="str">
        <f t="array" ref="P138">if(J138=0,"",INDEX('Biaya Gratis Ongkir Xtra'!D:D, MATCH(J138, 'Biaya Gratis Ongkir Xtra'!C:C, 0)))</f>
        <v/>
      </c>
      <c r="Q138" s="286" t="str">
        <f t="shared" si="3"/>
        <v/>
      </c>
      <c r="R138" s="287" t="str">
        <f t="array" ref="R138">if(K138=0,"",INDEX('Biaya Gratis Ongkir Xtra'!$C$7:$C$10, MATCH(K138, 'Biaya Gratis Ongkir Xtra'!$B$7:$B$10, 0)))</f>
        <v/>
      </c>
      <c r="S138" s="288" t="str">
        <f t="shared" si="4"/>
        <v/>
      </c>
      <c r="T138" s="273" t="str">
        <f t="shared" si="13"/>
        <v/>
      </c>
      <c r="U138" s="287" t="str">
        <f t="array" ref="U138">if(C138=0,"",INDEX('Biaya Gratis Ongkir Xtra'!$C$3:$C$4, MATCH(L138, 'Biaya Gratis Ongkir Xtra'!$B$3:$B$4, 0)))</f>
        <v/>
      </c>
      <c r="V138" s="288" t="str">
        <f t="shared" si="6"/>
        <v/>
      </c>
      <c r="W138" s="264"/>
      <c r="X138" s="289" t="str">
        <f t="shared" si="7"/>
        <v/>
      </c>
      <c r="Y138" s="290" t="str">
        <f t="shared" si="8"/>
        <v/>
      </c>
      <c r="Z138" s="291" t="str">
        <f t="shared" si="9"/>
        <v/>
      </c>
      <c r="AA138" s="289" t="str">
        <f t="shared" si="10"/>
        <v/>
      </c>
      <c r="AB138" s="291" t="str">
        <f t="shared" si="11"/>
        <v/>
      </c>
      <c r="AC138" s="292" t="str">
        <f t="shared" si="12"/>
        <v/>
      </c>
      <c r="AD138" s="281"/>
      <c r="AE138" s="22"/>
    </row>
    <row r="139">
      <c r="A139" s="264"/>
      <c r="B139" s="267"/>
      <c r="C139" s="265"/>
      <c r="D139" s="265"/>
      <c r="E139" s="265"/>
      <c r="F139" s="266"/>
      <c r="G139" s="267" t="str">
        <f t="shared" si="1"/>
        <v/>
      </c>
      <c r="H139" s="264"/>
      <c r="I139" s="282"/>
      <c r="J139" s="282"/>
      <c r="K139" s="282"/>
      <c r="L139" s="282"/>
      <c r="M139" s="269"/>
      <c r="N139" s="283" t="str">
        <f t="array" ref="N139">if(C139=0,"",INDEX('Biaya Administrasi'!E:E, MATCH(I139, 'Biaya Administrasi'!B:B, 0)))</f>
        <v/>
      </c>
      <c r="O139" s="284" t="str">
        <f t="shared" si="2"/>
        <v/>
      </c>
      <c r="P139" s="285" t="str">
        <f t="array" ref="P139">if(J139=0,"",INDEX('Biaya Gratis Ongkir Xtra'!D:D, MATCH(J139, 'Biaya Gratis Ongkir Xtra'!C:C, 0)))</f>
        <v/>
      </c>
      <c r="Q139" s="286" t="str">
        <f t="shared" si="3"/>
        <v/>
      </c>
      <c r="R139" s="287" t="str">
        <f t="array" ref="R139">if(K139=0,"",INDEX('Biaya Gratis Ongkir Xtra'!$C$7:$C$10, MATCH(K139, 'Biaya Gratis Ongkir Xtra'!$B$7:$B$10, 0)))</f>
        <v/>
      </c>
      <c r="S139" s="288" t="str">
        <f t="shared" si="4"/>
        <v/>
      </c>
      <c r="T139" s="273" t="str">
        <f t="shared" si="13"/>
        <v/>
      </c>
      <c r="U139" s="287" t="str">
        <f t="array" ref="U139">if(C139=0,"",INDEX('Biaya Gratis Ongkir Xtra'!$C$3:$C$4, MATCH(L139, 'Biaya Gratis Ongkir Xtra'!$B$3:$B$4, 0)))</f>
        <v/>
      </c>
      <c r="V139" s="288" t="str">
        <f t="shared" si="6"/>
        <v/>
      </c>
      <c r="W139" s="264"/>
      <c r="X139" s="289" t="str">
        <f t="shared" si="7"/>
        <v/>
      </c>
      <c r="Y139" s="290" t="str">
        <f t="shared" si="8"/>
        <v/>
      </c>
      <c r="Z139" s="291" t="str">
        <f t="shared" si="9"/>
        <v/>
      </c>
      <c r="AA139" s="289" t="str">
        <f t="shared" si="10"/>
        <v/>
      </c>
      <c r="AB139" s="291" t="str">
        <f t="shared" si="11"/>
        <v/>
      </c>
      <c r="AC139" s="292" t="str">
        <f t="shared" si="12"/>
        <v/>
      </c>
      <c r="AD139" s="281"/>
      <c r="AE139" s="22"/>
    </row>
    <row r="140">
      <c r="A140" s="264"/>
      <c r="B140" s="267"/>
      <c r="C140" s="265"/>
      <c r="D140" s="265"/>
      <c r="E140" s="265"/>
      <c r="F140" s="266"/>
      <c r="G140" s="267" t="str">
        <f t="shared" si="1"/>
        <v/>
      </c>
      <c r="H140" s="264"/>
      <c r="I140" s="282"/>
      <c r="J140" s="282"/>
      <c r="K140" s="282"/>
      <c r="L140" s="282"/>
      <c r="M140" s="269"/>
      <c r="N140" s="283" t="str">
        <f t="array" ref="N140">if(C140=0,"",INDEX('Biaya Administrasi'!E:E, MATCH(I140, 'Biaya Administrasi'!B:B, 0)))</f>
        <v/>
      </c>
      <c r="O140" s="284" t="str">
        <f t="shared" si="2"/>
        <v/>
      </c>
      <c r="P140" s="285" t="str">
        <f t="array" ref="P140">if(J140=0,"",INDEX('Biaya Gratis Ongkir Xtra'!D:D, MATCH(J140, 'Biaya Gratis Ongkir Xtra'!C:C, 0)))</f>
        <v/>
      </c>
      <c r="Q140" s="286" t="str">
        <f t="shared" si="3"/>
        <v/>
      </c>
      <c r="R140" s="287" t="str">
        <f t="array" ref="R140">if(K140=0,"",INDEX('Biaya Gratis Ongkir Xtra'!$C$7:$C$10, MATCH(K140, 'Biaya Gratis Ongkir Xtra'!$B$7:$B$10, 0)))</f>
        <v/>
      </c>
      <c r="S140" s="288" t="str">
        <f t="shared" si="4"/>
        <v/>
      </c>
      <c r="T140" s="273" t="str">
        <f t="shared" si="13"/>
        <v/>
      </c>
      <c r="U140" s="287" t="str">
        <f t="array" ref="U140">if(C140=0,"",INDEX('Biaya Gratis Ongkir Xtra'!$C$3:$C$4, MATCH(L140, 'Biaya Gratis Ongkir Xtra'!$B$3:$B$4, 0)))</f>
        <v/>
      </c>
      <c r="V140" s="288" t="str">
        <f t="shared" si="6"/>
        <v/>
      </c>
      <c r="W140" s="264"/>
      <c r="X140" s="289" t="str">
        <f t="shared" si="7"/>
        <v/>
      </c>
      <c r="Y140" s="290" t="str">
        <f t="shared" si="8"/>
        <v/>
      </c>
      <c r="Z140" s="291" t="str">
        <f t="shared" si="9"/>
        <v/>
      </c>
      <c r="AA140" s="289" t="str">
        <f t="shared" si="10"/>
        <v/>
      </c>
      <c r="AB140" s="291" t="str">
        <f t="shared" si="11"/>
        <v/>
      </c>
      <c r="AC140" s="292" t="str">
        <f t="shared" si="12"/>
        <v/>
      </c>
      <c r="AD140" s="281"/>
      <c r="AE140" s="22"/>
    </row>
    <row r="141">
      <c r="A141" s="264"/>
      <c r="B141" s="267"/>
      <c r="C141" s="265"/>
      <c r="D141" s="265"/>
      <c r="E141" s="265"/>
      <c r="F141" s="266"/>
      <c r="G141" s="267" t="str">
        <f t="shared" si="1"/>
        <v/>
      </c>
      <c r="H141" s="264"/>
      <c r="I141" s="282"/>
      <c r="J141" s="282"/>
      <c r="K141" s="282"/>
      <c r="L141" s="282"/>
      <c r="M141" s="269"/>
      <c r="N141" s="283" t="str">
        <f t="array" ref="N141">if(C141=0,"",INDEX('Biaya Administrasi'!E:E, MATCH(I141, 'Biaya Administrasi'!B:B, 0)))</f>
        <v/>
      </c>
      <c r="O141" s="284" t="str">
        <f t="shared" si="2"/>
        <v/>
      </c>
      <c r="P141" s="285" t="str">
        <f t="array" ref="P141">if(J141=0,"",INDEX('Biaya Gratis Ongkir Xtra'!D:D, MATCH(J141, 'Biaya Gratis Ongkir Xtra'!C:C, 0)))</f>
        <v/>
      </c>
      <c r="Q141" s="286" t="str">
        <f t="shared" si="3"/>
        <v/>
      </c>
      <c r="R141" s="287" t="str">
        <f t="array" ref="R141">if(K141=0,"",INDEX('Biaya Gratis Ongkir Xtra'!$C$7:$C$10, MATCH(K141, 'Biaya Gratis Ongkir Xtra'!$B$7:$B$10, 0)))</f>
        <v/>
      </c>
      <c r="S141" s="288" t="str">
        <f t="shared" si="4"/>
        <v/>
      </c>
      <c r="T141" s="273" t="str">
        <f t="shared" si="13"/>
        <v/>
      </c>
      <c r="U141" s="287" t="str">
        <f t="array" ref="U141">if(C141=0,"",INDEX('Biaya Gratis Ongkir Xtra'!$C$3:$C$4, MATCH(L141, 'Biaya Gratis Ongkir Xtra'!$B$3:$B$4, 0)))</f>
        <v/>
      </c>
      <c r="V141" s="288" t="str">
        <f t="shared" si="6"/>
        <v/>
      </c>
      <c r="W141" s="264"/>
      <c r="X141" s="289" t="str">
        <f t="shared" si="7"/>
        <v/>
      </c>
      <c r="Y141" s="290" t="str">
        <f t="shared" si="8"/>
        <v/>
      </c>
      <c r="Z141" s="291" t="str">
        <f t="shared" si="9"/>
        <v/>
      </c>
      <c r="AA141" s="289" t="str">
        <f t="shared" si="10"/>
        <v/>
      </c>
      <c r="AB141" s="291" t="str">
        <f t="shared" si="11"/>
        <v/>
      </c>
      <c r="AC141" s="292" t="str">
        <f t="shared" si="12"/>
        <v/>
      </c>
      <c r="AD141" s="281"/>
      <c r="AE141" s="22"/>
    </row>
    <row r="142">
      <c r="A142" s="264"/>
      <c r="B142" s="267"/>
      <c r="C142" s="265"/>
      <c r="D142" s="265"/>
      <c r="E142" s="265"/>
      <c r="F142" s="266"/>
      <c r="G142" s="267" t="str">
        <f t="shared" si="1"/>
        <v/>
      </c>
      <c r="H142" s="264"/>
      <c r="I142" s="282"/>
      <c r="J142" s="282"/>
      <c r="K142" s="282"/>
      <c r="L142" s="282"/>
      <c r="M142" s="269"/>
      <c r="N142" s="283" t="str">
        <f t="array" ref="N142">if(C142=0,"",INDEX('Biaya Administrasi'!E:E, MATCH(I142, 'Biaya Administrasi'!B:B, 0)))</f>
        <v/>
      </c>
      <c r="O142" s="284" t="str">
        <f t="shared" si="2"/>
        <v/>
      </c>
      <c r="P142" s="285" t="str">
        <f t="array" ref="P142">if(J142=0,"",INDEX('Biaya Gratis Ongkir Xtra'!D:D, MATCH(J142, 'Biaya Gratis Ongkir Xtra'!C:C, 0)))</f>
        <v/>
      </c>
      <c r="Q142" s="286" t="str">
        <f t="shared" si="3"/>
        <v/>
      </c>
      <c r="R142" s="287" t="str">
        <f t="array" ref="R142">if(K142=0,"",INDEX('Biaya Gratis Ongkir Xtra'!$C$7:$C$10, MATCH(K142, 'Biaya Gratis Ongkir Xtra'!$B$7:$B$10, 0)))</f>
        <v/>
      </c>
      <c r="S142" s="288" t="str">
        <f t="shared" si="4"/>
        <v/>
      </c>
      <c r="T142" s="273" t="str">
        <f t="shared" si="13"/>
        <v/>
      </c>
      <c r="U142" s="287" t="str">
        <f t="array" ref="U142">if(C142=0,"",INDEX('Biaya Gratis Ongkir Xtra'!$C$3:$C$4, MATCH(L142, 'Biaya Gratis Ongkir Xtra'!$B$3:$B$4, 0)))</f>
        <v/>
      </c>
      <c r="V142" s="288" t="str">
        <f t="shared" si="6"/>
        <v/>
      </c>
      <c r="W142" s="264"/>
      <c r="X142" s="289" t="str">
        <f t="shared" si="7"/>
        <v/>
      </c>
      <c r="Y142" s="290" t="str">
        <f t="shared" si="8"/>
        <v/>
      </c>
      <c r="Z142" s="291" t="str">
        <f t="shared" si="9"/>
        <v/>
      </c>
      <c r="AA142" s="289" t="str">
        <f t="shared" si="10"/>
        <v/>
      </c>
      <c r="AB142" s="291" t="str">
        <f t="shared" si="11"/>
        <v/>
      </c>
      <c r="AC142" s="292" t="str">
        <f t="shared" si="12"/>
        <v/>
      </c>
      <c r="AD142" s="281"/>
      <c r="AE142" s="22"/>
    </row>
    <row r="143">
      <c r="A143" s="264"/>
      <c r="B143" s="267"/>
      <c r="C143" s="265"/>
      <c r="D143" s="265"/>
      <c r="E143" s="265"/>
      <c r="F143" s="266"/>
      <c r="G143" s="267" t="str">
        <f t="shared" si="1"/>
        <v/>
      </c>
      <c r="H143" s="264"/>
      <c r="I143" s="282"/>
      <c r="J143" s="282"/>
      <c r="K143" s="282"/>
      <c r="L143" s="282"/>
      <c r="M143" s="269"/>
      <c r="N143" s="283" t="str">
        <f t="array" ref="N143">if(C143=0,"",INDEX('Biaya Administrasi'!E:E, MATCH(I143, 'Biaya Administrasi'!B:B, 0)))</f>
        <v/>
      </c>
      <c r="O143" s="284" t="str">
        <f t="shared" si="2"/>
        <v/>
      </c>
      <c r="P143" s="285" t="str">
        <f t="array" ref="P143">if(J143=0,"",INDEX('Biaya Gratis Ongkir Xtra'!D:D, MATCH(J143, 'Biaya Gratis Ongkir Xtra'!C:C, 0)))</f>
        <v/>
      </c>
      <c r="Q143" s="286" t="str">
        <f t="shared" si="3"/>
        <v/>
      </c>
      <c r="R143" s="287" t="str">
        <f t="array" ref="R143">if(K143=0,"",INDEX('Biaya Gratis Ongkir Xtra'!$C$7:$C$10, MATCH(K143, 'Biaya Gratis Ongkir Xtra'!$B$7:$B$10, 0)))</f>
        <v/>
      </c>
      <c r="S143" s="288" t="str">
        <f t="shared" si="4"/>
        <v/>
      </c>
      <c r="T143" s="273" t="str">
        <f t="shared" si="13"/>
        <v/>
      </c>
      <c r="U143" s="287" t="str">
        <f t="array" ref="U143">if(C143=0,"",INDEX('Biaya Gratis Ongkir Xtra'!$C$3:$C$4, MATCH(L143, 'Biaya Gratis Ongkir Xtra'!$B$3:$B$4, 0)))</f>
        <v/>
      </c>
      <c r="V143" s="288" t="str">
        <f t="shared" si="6"/>
        <v/>
      </c>
      <c r="W143" s="264"/>
      <c r="X143" s="289" t="str">
        <f t="shared" si="7"/>
        <v/>
      </c>
      <c r="Y143" s="290" t="str">
        <f t="shared" si="8"/>
        <v/>
      </c>
      <c r="Z143" s="291" t="str">
        <f t="shared" si="9"/>
        <v/>
      </c>
      <c r="AA143" s="289" t="str">
        <f t="shared" si="10"/>
        <v/>
      </c>
      <c r="AB143" s="291" t="str">
        <f t="shared" si="11"/>
        <v/>
      </c>
      <c r="AC143" s="292" t="str">
        <f t="shared" si="12"/>
        <v/>
      </c>
      <c r="AD143" s="281"/>
      <c r="AE143" s="22"/>
    </row>
    <row r="144">
      <c r="A144" s="264"/>
      <c r="B144" s="267"/>
      <c r="C144" s="265"/>
      <c r="D144" s="265"/>
      <c r="E144" s="265"/>
      <c r="F144" s="266"/>
      <c r="G144" s="267" t="str">
        <f t="shared" si="1"/>
        <v/>
      </c>
      <c r="H144" s="264"/>
      <c r="I144" s="282"/>
      <c r="J144" s="282"/>
      <c r="K144" s="282"/>
      <c r="L144" s="282"/>
      <c r="M144" s="269"/>
      <c r="N144" s="283" t="str">
        <f t="array" ref="N144">if(C144=0,"",INDEX('Biaya Administrasi'!E:E, MATCH(I144, 'Biaya Administrasi'!B:B, 0)))</f>
        <v/>
      </c>
      <c r="O144" s="284" t="str">
        <f t="shared" si="2"/>
        <v/>
      </c>
      <c r="P144" s="285" t="str">
        <f t="array" ref="P144">if(J144=0,"",INDEX('Biaya Gratis Ongkir Xtra'!D:D, MATCH(J144, 'Biaya Gratis Ongkir Xtra'!C:C, 0)))</f>
        <v/>
      </c>
      <c r="Q144" s="286" t="str">
        <f t="shared" si="3"/>
        <v/>
      </c>
      <c r="R144" s="287" t="str">
        <f t="array" ref="R144">if(K144=0,"",INDEX('Biaya Gratis Ongkir Xtra'!$C$7:$C$10, MATCH(K144, 'Biaya Gratis Ongkir Xtra'!$B$7:$B$10, 0)))</f>
        <v/>
      </c>
      <c r="S144" s="288" t="str">
        <f t="shared" si="4"/>
        <v/>
      </c>
      <c r="T144" s="273" t="str">
        <f t="shared" si="13"/>
        <v/>
      </c>
      <c r="U144" s="287" t="str">
        <f t="array" ref="U144">if(C144=0,"",INDEX('Biaya Gratis Ongkir Xtra'!$C$3:$C$4, MATCH(L144, 'Biaya Gratis Ongkir Xtra'!$B$3:$B$4, 0)))</f>
        <v/>
      </c>
      <c r="V144" s="288" t="str">
        <f t="shared" si="6"/>
        <v/>
      </c>
      <c r="W144" s="264"/>
      <c r="X144" s="289" t="str">
        <f t="shared" si="7"/>
        <v/>
      </c>
      <c r="Y144" s="290" t="str">
        <f t="shared" si="8"/>
        <v/>
      </c>
      <c r="Z144" s="291" t="str">
        <f t="shared" si="9"/>
        <v/>
      </c>
      <c r="AA144" s="289" t="str">
        <f t="shared" si="10"/>
        <v/>
      </c>
      <c r="AB144" s="291" t="str">
        <f t="shared" si="11"/>
        <v/>
      </c>
      <c r="AC144" s="292" t="str">
        <f t="shared" si="12"/>
        <v/>
      </c>
      <c r="AD144" s="281"/>
      <c r="AE144" s="22"/>
    </row>
    <row r="145">
      <c r="A145" s="264"/>
      <c r="B145" s="267"/>
      <c r="C145" s="265"/>
      <c r="D145" s="265"/>
      <c r="E145" s="265"/>
      <c r="F145" s="266"/>
      <c r="G145" s="267" t="str">
        <f t="shared" si="1"/>
        <v/>
      </c>
      <c r="H145" s="264"/>
      <c r="I145" s="282"/>
      <c r="J145" s="282"/>
      <c r="K145" s="282"/>
      <c r="L145" s="282"/>
      <c r="M145" s="269"/>
      <c r="N145" s="283" t="str">
        <f t="array" ref="N145">if(C145=0,"",INDEX('Biaya Administrasi'!E:E, MATCH(I145, 'Biaya Administrasi'!B:B, 0)))</f>
        <v/>
      </c>
      <c r="O145" s="284" t="str">
        <f t="shared" si="2"/>
        <v/>
      </c>
      <c r="P145" s="285" t="str">
        <f t="array" ref="P145">if(J145=0,"",INDEX('Biaya Gratis Ongkir Xtra'!D:D, MATCH(J145, 'Biaya Gratis Ongkir Xtra'!C:C, 0)))</f>
        <v/>
      </c>
      <c r="Q145" s="286" t="str">
        <f t="shared" si="3"/>
        <v/>
      </c>
      <c r="R145" s="287" t="str">
        <f t="array" ref="R145">if(K145=0,"",INDEX('Biaya Gratis Ongkir Xtra'!$C$7:$C$10, MATCH(K145, 'Biaya Gratis Ongkir Xtra'!$B$7:$B$10, 0)))</f>
        <v/>
      </c>
      <c r="S145" s="288" t="str">
        <f t="shared" si="4"/>
        <v/>
      </c>
      <c r="T145" s="273" t="str">
        <f t="shared" si="13"/>
        <v/>
      </c>
      <c r="U145" s="287" t="str">
        <f t="array" ref="U145">if(C145=0,"",INDEX('Biaya Gratis Ongkir Xtra'!$C$3:$C$4, MATCH(L145, 'Biaya Gratis Ongkir Xtra'!$B$3:$B$4, 0)))</f>
        <v/>
      </c>
      <c r="V145" s="288" t="str">
        <f t="shared" si="6"/>
        <v/>
      </c>
      <c r="W145" s="264"/>
      <c r="X145" s="289" t="str">
        <f t="shared" si="7"/>
        <v/>
      </c>
      <c r="Y145" s="290" t="str">
        <f t="shared" si="8"/>
        <v/>
      </c>
      <c r="Z145" s="291" t="str">
        <f t="shared" si="9"/>
        <v/>
      </c>
      <c r="AA145" s="289" t="str">
        <f t="shared" si="10"/>
        <v/>
      </c>
      <c r="AB145" s="291" t="str">
        <f t="shared" si="11"/>
        <v/>
      </c>
      <c r="AC145" s="292" t="str">
        <f t="shared" si="12"/>
        <v/>
      </c>
      <c r="AD145" s="281"/>
      <c r="AE145" s="22"/>
    </row>
    <row r="146">
      <c r="A146" s="264"/>
      <c r="B146" s="267"/>
      <c r="C146" s="265"/>
      <c r="D146" s="265"/>
      <c r="E146" s="265"/>
      <c r="F146" s="266"/>
      <c r="G146" s="267" t="str">
        <f t="shared" si="1"/>
        <v/>
      </c>
      <c r="H146" s="264"/>
      <c r="I146" s="282"/>
      <c r="J146" s="282"/>
      <c r="K146" s="282"/>
      <c r="L146" s="282"/>
      <c r="M146" s="269"/>
      <c r="N146" s="283" t="str">
        <f t="array" ref="N146">if(C146=0,"",INDEX('Biaya Administrasi'!E:E, MATCH(I146, 'Biaya Administrasi'!B:B, 0)))</f>
        <v/>
      </c>
      <c r="O146" s="284" t="str">
        <f t="shared" si="2"/>
        <v/>
      </c>
      <c r="P146" s="285" t="str">
        <f t="array" ref="P146">if(J146=0,"",INDEX('Biaya Gratis Ongkir Xtra'!D:D, MATCH(J146, 'Biaya Gratis Ongkir Xtra'!C:C, 0)))</f>
        <v/>
      </c>
      <c r="Q146" s="286" t="str">
        <f t="shared" si="3"/>
        <v/>
      </c>
      <c r="R146" s="287" t="str">
        <f t="array" ref="R146">if(K146=0,"",INDEX('Biaya Gratis Ongkir Xtra'!$C$7:$C$10, MATCH(K146, 'Biaya Gratis Ongkir Xtra'!$B$7:$B$10, 0)))</f>
        <v/>
      </c>
      <c r="S146" s="288" t="str">
        <f t="shared" si="4"/>
        <v/>
      </c>
      <c r="T146" s="273" t="str">
        <f t="shared" si="13"/>
        <v/>
      </c>
      <c r="U146" s="287" t="str">
        <f t="array" ref="U146">if(C146=0,"",INDEX('Biaya Gratis Ongkir Xtra'!$C$3:$C$4, MATCH(L146, 'Biaya Gratis Ongkir Xtra'!$B$3:$B$4, 0)))</f>
        <v/>
      </c>
      <c r="V146" s="288" t="str">
        <f t="shared" si="6"/>
        <v/>
      </c>
      <c r="W146" s="264"/>
      <c r="X146" s="289" t="str">
        <f t="shared" si="7"/>
        <v/>
      </c>
      <c r="Y146" s="290" t="str">
        <f t="shared" si="8"/>
        <v/>
      </c>
      <c r="Z146" s="291" t="str">
        <f t="shared" si="9"/>
        <v/>
      </c>
      <c r="AA146" s="289" t="str">
        <f t="shared" si="10"/>
        <v/>
      </c>
      <c r="AB146" s="291" t="str">
        <f t="shared" si="11"/>
        <v/>
      </c>
      <c r="AC146" s="292" t="str">
        <f t="shared" si="12"/>
        <v/>
      </c>
      <c r="AD146" s="281"/>
      <c r="AE146" s="22"/>
    </row>
    <row r="147">
      <c r="A147" s="264"/>
      <c r="B147" s="267"/>
      <c r="C147" s="265"/>
      <c r="D147" s="265"/>
      <c r="E147" s="265"/>
      <c r="F147" s="266"/>
      <c r="G147" s="267" t="str">
        <f t="shared" si="1"/>
        <v/>
      </c>
      <c r="H147" s="264"/>
      <c r="I147" s="282"/>
      <c r="J147" s="282"/>
      <c r="K147" s="282"/>
      <c r="L147" s="282"/>
      <c r="M147" s="269"/>
      <c r="N147" s="283" t="str">
        <f t="array" ref="N147">if(C147=0,"",INDEX('Biaya Administrasi'!E:E, MATCH(I147, 'Biaya Administrasi'!B:B, 0)))</f>
        <v/>
      </c>
      <c r="O147" s="284" t="str">
        <f t="shared" si="2"/>
        <v/>
      </c>
      <c r="P147" s="285" t="str">
        <f t="array" ref="P147">if(J147=0,"",INDEX('Biaya Gratis Ongkir Xtra'!D:D, MATCH(J147, 'Biaya Gratis Ongkir Xtra'!C:C, 0)))</f>
        <v/>
      </c>
      <c r="Q147" s="286" t="str">
        <f t="shared" si="3"/>
        <v/>
      </c>
      <c r="R147" s="287" t="str">
        <f t="array" ref="R147">if(K147=0,"",INDEX('Biaya Gratis Ongkir Xtra'!$C$7:$C$10, MATCH(K147, 'Biaya Gratis Ongkir Xtra'!$B$7:$B$10, 0)))</f>
        <v/>
      </c>
      <c r="S147" s="288" t="str">
        <f t="shared" si="4"/>
        <v/>
      </c>
      <c r="T147" s="273" t="str">
        <f t="shared" si="13"/>
        <v/>
      </c>
      <c r="U147" s="287" t="str">
        <f t="array" ref="U147">if(C147=0,"",INDEX('Biaya Gratis Ongkir Xtra'!$C$3:$C$4, MATCH(L147, 'Biaya Gratis Ongkir Xtra'!$B$3:$B$4, 0)))</f>
        <v/>
      </c>
      <c r="V147" s="288" t="str">
        <f t="shared" si="6"/>
        <v/>
      </c>
      <c r="W147" s="264"/>
      <c r="X147" s="289" t="str">
        <f t="shared" si="7"/>
        <v/>
      </c>
      <c r="Y147" s="290" t="str">
        <f t="shared" si="8"/>
        <v/>
      </c>
      <c r="Z147" s="291" t="str">
        <f t="shared" si="9"/>
        <v/>
      </c>
      <c r="AA147" s="289" t="str">
        <f t="shared" si="10"/>
        <v/>
      </c>
      <c r="AB147" s="291" t="str">
        <f t="shared" si="11"/>
        <v/>
      </c>
      <c r="AC147" s="292" t="str">
        <f t="shared" si="12"/>
        <v/>
      </c>
      <c r="AD147" s="281"/>
      <c r="AE147" s="22"/>
    </row>
    <row r="148">
      <c r="A148" s="264"/>
      <c r="B148" s="267"/>
      <c r="C148" s="265"/>
      <c r="D148" s="265"/>
      <c r="E148" s="265"/>
      <c r="F148" s="266"/>
      <c r="G148" s="267" t="str">
        <f t="shared" si="1"/>
        <v/>
      </c>
      <c r="H148" s="264"/>
      <c r="I148" s="282"/>
      <c r="J148" s="282"/>
      <c r="K148" s="282"/>
      <c r="L148" s="282"/>
      <c r="M148" s="269"/>
      <c r="N148" s="283" t="str">
        <f t="array" ref="N148">if(C148=0,"",INDEX('Biaya Administrasi'!E:E, MATCH(I148, 'Biaya Administrasi'!B:B, 0)))</f>
        <v/>
      </c>
      <c r="O148" s="284" t="str">
        <f t="shared" si="2"/>
        <v/>
      </c>
      <c r="P148" s="285" t="str">
        <f t="array" ref="P148">if(J148=0,"",INDEX('Biaya Gratis Ongkir Xtra'!D:D, MATCH(J148, 'Biaya Gratis Ongkir Xtra'!C:C, 0)))</f>
        <v/>
      </c>
      <c r="Q148" s="286" t="str">
        <f t="shared" si="3"/>
        <v/>
      </c>
      <c r="R148" s="287" t="str">
        <f t="array" ref="R148">if(K148=0,"",INDEX('Biaya Gratis Ongkir Xtra'!$C$7:$C$10, MATCH(K148, 'Biaya Gratis Ongkir Xtra'!$B$7:$B$10, 0)))</f>
        <v/>
      </c>
      <c r="S148" s="288" t="str">
        <f t="shared" si="4"/>
        <v/>
      </c>
      <c r="T148" s="273" t="str">
        <f t="shared" si="13"/>
        <v/>
      </c>
      <c r="U148" s="287" t="str">
        <f t="array" ref="U148">if(C148=0,"",INDEX('Biaya Gratis Ongkir Xtra'!$C$3:$C$4, MATCH(L148, 'Biaya Gratis Ongkir Xtra'!$B$3:$B$4, 0)))</f>
        <v/>
      </c>
      <c r="V148" s="288" t="str">
        <f t="shared" si="6"/>
        <v/>
      </c>
      <c r="W148" s="264"/>
      <c r="X148" s="289" t="str">
        <f t="shared" si="7"/>
        <v/>
      </c>
      <c r="Y148" s="290" t="str">
        <f t="shared" si="8"/>
        <v/>
      </c>
      <c r="Z148" s="291" t="str">
        <f t="shared" si="9"/>
        <v/>
      </c>
      <c r="AA148" s="289" t="str">
        <f t="shared" si="10"/>
        <v/>
      </c>
      <c r="AB148" s="291" t="str">
        <f t="shared" si="11"/>
        <v/>
      </c>
      <c r="AC148" s="292" t="str">
        <f t="shared" si="12"/>
        <v/>
      </c>
      <c r="AD148" s="281"/>
      <c r="AE148" s="22"/>
    </row>
    <row r="149">
      <c r="A149" s="264"/>
      <c r="B149" s="267"/>
      <c r="C149" s="265"/>
      <c r="D149" s="265"/>
      <c r="E149" s="265"/>
      <c r="F149" s="266"/>
      <c r="G149" s="267" t="str">
        <f t="shared" si="1"/>
        <v/>
      </c>
      <c r="H149" s="264"/>
      <c r="I149" s="282"/>
      <c r="J149" s="282"/>
      <c r="K149" s="282"/>
      <c r="L149" s="282"/>
      <c r="M149" s="269"/>
      <c r="N149" s="283" t="str">
        <f t="array" ref="N149">if(C149=0,"",INDEX('Biaya Administrasi'!E:E, MATCH(I149, 'Biaya Administrasi'!B:B, 0)))</f>
        <v/>
      </c>
      <c r="O149" s="284" t="str">
        <f t="shared" si="2"/>
        <v/>
      </c>
      <c r="P149" s="285" t="str">
        <f t="array" ref="P149">if(J149=0,"",INDEX('Biaya Gratis Ongkir Xtra'!D:D, MATCH(J149, 'Biaya Gratis Ongkir Xtra'!C:C, 0)))</f>
        <v/>
      </c>
      <c r="Q149" s="286" t="str">
        <f t="shared" si="3"/>
        <v/>
      </c>
      <c r="R149" s="287" t="str">
        <f t="array" ref="R149">if(K149=0,"",INDEX('Biaya Gratis Ongkir Xtra'!$C$7:$C$10, MATCH(K149, 'Biaya Gratis Ongkir Xtra'!$B$7:$B$10, 0)))</f>
        <v/>
      </c>
      <c r="S149" s="288" t="str">
        <f t="shared" si="4"/>
        <v/>
      </c>
      <c r="T149" s="273" t="str">
        <f t="shared" si="13"/>
        <v/>
      </c>
      <c r="U149" s="287" t="str">
        <f t="array" ref="U149">if(C149=0,"",INDEX('Biaya Gratis Ongkir Xtra'!$C$3:$C$4, MATCH(L149, 'Biaya Gratis Ongkir Xtra'!$B$3:$B$4, 0)))</f>
        <v/>
      </c>
      <c r="V149" s="288" t="str">
        <f t="shared" si="6"/>
        <v/>
      </c>
      <c r="W149" s="264"/>
      <c r="X149" s="289" t="str">
        <f t="shared" si="7"/>
        <v/>
      </c>
      <c r="Y149" s="290" t="str">
        <f t="shared" si="8"/>
        <v/>
      </c>
      <c r="Z149" s="291" t="str">
        <f t="shared" si="9"/>
        <v/>
      </c>
      <c r="AA149" s="289" t="str">
        <f t="shared" si="10"/>
        <v/>
      </c>
      <c r="AB149" s="291" t="str">
        <f t="shared" si="11"/>
        <v/>
      </c>
      <c r="AC149" s="292" t="str">
        <f t="shared" si="12"/>
        <v/>
      </c>
      <c r="AD149" s="281"/>
      <c r="AE149" s="22"/>
    </row>
    <row r="150">
      <c r="A150" s="264"/>
      <c r="B150" s="267"/>
      <c r="C150" s="265"/>
      <c r="D150" s="265"/>
      <c r="E150" s="265"/>
      <c r="F150" s="266"/>
      <c r="G150" s="267" t="str">
        <f t="shared" si="1"/>
        <v/>
      </c>
      <c r="H150" s="264"/>
      <c r="I150" s="282"/>
      <c r="J150" s="282"/>
      <c r="K150" s="282"/>
      <c r="L150" s="282"/>
      <c r="M150" s="269"/>
      <c r="N150" s="283" t="str">
        <f t="array" ref="N150">if(C150=0,"",INDEX('Biaya Administrasi'!E:E, MATCH(I150, 'Biaya Administrasi'!B:B, 0)))</f>
        <v/>
      </c>
      <c r="O150" s="284" t="str">
        <f t="shared" si="2"/>
        <v/>
      </c>
      <c r="P150" s="285" t="str">
        <f t="array" ref="P150">if(J150=0,"",INDEX('Biaya Gratis Ongkir Xtra'!D:D, MATCH(J150, 'Biaya Gratis Ongkir Xtra'!C:C, 0)))</f>
        <v/>
      </c>
      <c r="Q150" s="286" t="str">
        <f t="shared" si="3"/>
        <v/>
      </c>
      <c r="R150" s="287" t="str">
        <f t="array" ref="R150">if(K150=0,"",INDEX('Biaya Gratis Ongkir Xtra'!$C$7:$C$10, MATCH(K150, 'Biaya Gratis Ongkir Xtra'!$B$7:$B$10, 0)))</f>
        <v/>
      </c>
      <c r="S150" s="288" t="str">
        <f t="shared" si="4"/>
        <v/>
      </c>
      <c r="T150" s="273" t="str">
        <f t="shared" si="13"/>
        <v/>
      </c>
      <c r="U150" s="287" t="str">
        <f t="array" ref="U150">if(C150=0,"",INDEX('Biaya Gratis Ongkir Xtra'!$C$3:$C$4, MATCH(L150, 'Biaya Gratis Ongkir Xtra'!$B$3:$B$4, 0)))</f>
        <v/>
      </c>
      <c r="V150" s="288" t="str">
        <f t="shared" si="6"/>
        <v/>
      </c>
      <c r="W150" s="264"/>
      <c r="X150" s="289" t="str">
        <f t="shared" si="7"/>
        <v/>
      </c>
      <c r="Y150" s="290" t="str">
        <f t="shared" si="8"/>
        <v/>
      </c>
      <c r="Z150" s="291" t="str">
        <f t="shared" si="9"/>
        <v/>
      </c>
      <c r="AA150" s="289" t="str">
        <f t="shared" si="10"/>
        <v/>
      </c>
      <c r="AB150" s="291" t="str">
        <f t="shared" si="11"/>
        <v/>
      </c>
      <c r="AC150" s="292" t="str">
        <f t="shared" si="12"/>
        <v/>
      </c>
      <c r="AD150" s="281"/>
      <c r="AE150" s="22"/>
    </row>
    <row r="151">
      <c r="A151" s="264"/>
      <c r="B151" s="267"/>
      <c r="C151" s="265"/>
      <c r="D151" s="265"/>
      <c r="E151" s="265"/>
      <c r="F151" s="266"/>
      <c r="G151" s="267" t="str">
        <f t="shared" si="1"/>
        <v/>
      </c>
      <c r="H151" s="264"/>
      <c r="I151" s="282"/>
      <c r="J151" s="282"/>
      <c r="K151" s="282"/>
      <c r="L151" s="282"/>
      <c r="M151" s="269"/>
      <c r="N151" s="283" t="str">
        <f t="array" ref="N151">if(C151=0,"",INDEX('Biaya Administrasi'!E:E, MATCH(I151, 'Biaya Administrasi'!B:B, 0)))</f>
        <v/>
      </c>
      <c r="O151" s="284" t="str">
        <f t="shared" si="2"/>
        <v/>
      </c>
      <c r="P151" s="285" t="str">
        <f t="array" ref="P151">if(J151=0,"",INDEX('Biaya Gratis Ongkir Xtra'!D:D, MATCH(J151, 'Biaya Gratis Ongkir Xtra'!C:C, 0)))</f>
        <v/>
      </c>
      <c r="Q151" s="286" t="str">
        <f t="shared" si="3"/>
        <v/>
      </c>
      <c r="R151" s="287" t="str">
        <f t="array" ref="R151">if(K151=0,"",INDEX('Biaya Gratis Ongkir Xtra'!$C$7:$C$10, MATCH(K151, 'Biaya Gratis Ongkir Xtra'!$B$7:$B$10, 0)))</f>
        <v/>
      </c>
      <c r="S151" s="288" t="str">
        <f t="shared" si="4"/>
        <v/>
      </c>
      <c r="T151" s="273" t="str">
        <f t="shared" si="13"/>
        <v/>
      </c>
      <c r="U151" s="287" t="str">
        <f t="array" ref="U151">if(C151=0,"",INDEX('Biaya Gratis Ongkir Xtra'!$C$3:$C$4, MATCH(L151, 'Biaya Gratis Ongkir Xtra'!$B$3:$B$4, 0)))</f>
        <v/>
      </c>
      <c r="V151" s="288" t="str">
        <f t="shared" si="6"/>
        <v/>
      </c>
      <c r="W151" s="264"/>
      <c r="X151" s="289" t="str">
        <f t="shared" si="7"/>
        <v/>
      </c>
      <c r="Y151" s="290" t="str">
        <f t="shared" si="8"/>
        <v/>
      </c>
      <c r="Z151" s="291" t="str">
        <f t="shared" si="9"/>
        <v/>
      </c>
      <c r="AA151" s="289" t="str">
        <f t="shared" si="10"/>
        <v/>
      </c>
      <c r="AB151" s="291" t="str">
        <f t="shared" si="11"/>
        <v/>
      </c>
      <c r="AC151" s="292" t="str">
        <f t="shared" si="12"/>
        <v/>
      </c>
      <c r="AD151" s="281"/>
      <c r="AE151" s="22"/>
    </row>
    <row r="152">
      <c r="A152" s="264"/>
      <c r="B152" s="267"/>
      <c r="C152" s="265"/>
      <c r="D152" s="265"/>
      <c r="E152" s="265"/>
      <c r="F152" s="266"/>
      <c r="G152" s="267" t="str">
        <f t="shared" si="1"/>
        <v/>
      </c>
      <c r="H152" s="264"/>
      <c r="I152" s="282"/>
      <c r="J152" s="282"/>
      <c r="K152" s="282"/>
      <c r="L152" s="282"/>
      <c r="M152" s="269"/>
      <c r="N152" s="283" t="str">
        <f t="array" ref="N152">if(C152=0,"",INDEX('Biaya Administrasi'!E:E, MATCH(I152, 'Biaya Administrasi'!B:B, 0)))</f>
        <v/>
      </c>
      <c r="O152" s="284" t="str">
        <f t="shared" si="2"/>
        <v/>
      </c>
      <c r="P152" s="285" t="str">
        <f t="array" ref="P152">if(J152=0,"",INDEX('Biaya Gratis Ongkir Xtra'!D:D, MATCH(J152, 'Biaya Gratis Ongkir Xtra'!C:C, 0)))</f>
        <v/>
      </c>
      <c r="Q152" s="286" t="str">
        <f t="shared" si="3"/>
        <v/>
      </c>
      <c r="R152" s="287" t="str">
        <f t="array" ref="R152">if(K152=0,"",INDEX('Biaya Gratis Ongkir Xtra'!$C$7:$C$10, MATCH(K152, 'Biaya Gratis Ongkir Xtra'!$B$7:$B$10, 0)))</f>
        <v/>
      </c>
      <c r="S152" s="288" t="str">
        <f t="shared" si="4"/>
        <v/>
      </c>
      <c r="T152" s="273" t="str">
        <f t="shared" si="13"/>
        <v/>
      </c>
      <c r="U152" s="287" t="str">
        <f t="array" ref="U152">if(C152=0,"",INDEX('Biaya Gratis Ongkir Xtra'!$C$3:$C$4, MATCH(L152, 'Biaya Gratis Ongkir Xtra'!$B$3:$B$4, 0)))</f>
        <v/>
      </c>
      <c r="V152" s="288" t="str">
        <f t="shared" si="6"/>
        <v/>
      </c>
      <c r="W152" s="264"/>
      <c r="X152" s="289" t="str">
        <f t="shared" si="7"/>
        <v/>
      </c>
      <c r="Y152" s="290" t="str">
        <f t="shared" si="8"/>
        <v/>
      </c>
      <c r="Z152" s="291" t="str">
        <f t="shared" si="9"/>
        <v/>
      </c>
      <c r="AA152" s="289" t="str">
        <f t="shared" si="10"/>
        <v/>
      </c>
      <c r="AB152" s="291" t="str">
        <f t="shared" si="11"/>
        <v/>
      </c>
      <c r="AC152" s="292" t="str">
        <f t="shared" si="12"/>
        <v/>
      </c>
      <c r="AD152" s="281"/>
      <c r="AE152" s="22"/>
    </row>
    <row r="153">
      <c r="A153" s="264"/>
      <c r="B153" s="267"/>
      <c r="C153" s="265"/>
      <c r="D153" s="265"/>
      <c r="E153" s="265"/>
      <c r="F153" s="266"/>
      <c r="G153" s="267" t="str">
        <f t="shared" si="1"/>
        <v/>
      </c>
      <c r="H153" s="264"/>
      <c r="I153" s="282"/>
      <c r="J153" s="282"/>
      <c r="K153" s="282"/>
      <c r="L153" s="282"/>
      <c r="M153" s="269"/>
      <c r="N153" s="283" t="str">
        <f t="array" ref="N153">if(C153=0,"",INDEX('Biaya Administrasi'!E:E, MATCH(I153, 'Biaya Administrasi'!B:B, 0)))</f>
        <v/>
      </c>
      <c r="O153" s="284" t="str">
        <f t="shared" si="2"/>
        <v/>
      </c>
      <c r="P153" s="285" t="str">
        <f t="array" ref="P153">if(J153=0,"",INDEX('Biaya Gratis Ongkir Xtra'!D:D, MATCH(J153, 'Biaya Gratis Ongkir Xtra'!C:C, 0)))</f>
        <v/>
      </c>
      <c r="Q153" s="286" t="str">
        <f t="shared" si="3"/>
        <v/>
      </c>
      <c r="R153" s="287" t="str">
        <f t="array" ref="R153">if(K153=0,"",INDEX('Biaya Gratis Ongkir Xtra'!$C$7:$C$10, MATCH(K153, 'Biaya Gratis Ongkir Xtra'!$B$7:$B$10, 0)))</f>
        <v/>
      </c>
      <c r="S153" s="288" t="str">
        <f t="shared" si="4"/>
        <v/>
      </c>
      <c r="T153" s="273" t="str">
        <f t="shared" si="13"/>
        <v/>
      </c>
      <c r="U153" s="287" t="str">
        <f t="array" ref="U153">if(C153=0,"",INDEX('Biaya Gratis Ongkir Xtra'!$C$3:$C$4, MATCH(L153, 'Biaya Gratis Ongkir Xtra'!$B$3:$B$4, 0)))</f>
        <v/>
      </c>
      <c r="V153" s="288" t="str">
        <f t="shared" si="6"/>
        <v/>
      </c>
      <c r="W153" s="264"/>
      <c r="X153" s="289" t="str">
        <f t="shared" si="7"/>
        <v/>
      </c>
      <c r="Y153" s="290" t="str">
        <f t="shared" si="8"/>
        <v/>
      </c>
      <c r="Z153" s="291" t="str">
        <f t="shared" si="9"/>
        <v/>
      </c>
      <c r="AA153" s="289" t="str">
        <f t="shared" si="10"/>
        <v/>
      </c>
      <c r="AB153" s="291" t="str">
        <f t="shared" si="11"/>
        <v/>
      </c>
      <c r="AC153" s="292" t="str">
        <f t="shared" si="12"/>
        <v/>
      </c>
      <c r="AD153" s="281"/>
      <c r="AE153" s="22"/>
    </row>
    <row r="154">
      <c r="A154" s="264"/>
      <c r="B154" s="267"/>
      <c r="C154" s="265"/>
      <c r="D154" s="265"/>
      <c r="E154" s="265"/>
      <c r="F154" s="266"/>
      <c r="G154" s="267" t="str">
        <f t="shared" si="1"/>
        <v/>
      </c>
      <c r="H154" s="264"/>
      <c r="I154" s="282"/>
      <c r="J154" s="282"/>
      <c r="K154" s="282"/>
      <c r="L154" s="282"/>
      <c r="M154" s="269"/>
      <c r="N154" s="283" t="str">
        <f t="array" ref="N154">if(C154=0,"",INDEX('Biaya Administrasi'!E:E, MATCH(I154, 'Biaya Administrasi'!B:B, 0)))</f>
        <v/>
      </c>
      <c r="O154" s="284" t="str">
        <f t="shared" si="2"/>
        <v/>
      </c>
      <c r="P154" s="285" t="str">
        <f t="array" ref="P154">if(J154=0,"",INDEX('Biaya Gratis Ongkir Xtra'!D:D, MATCH(J154, 'Biaya Gratis Ongkir Xtra'!C:C, 0)))</f>
        <v/>
      </c>
      <c r="Q154" s="286" t="str">
        <f t="shared" si="3"/>
        <v/>
      </c>
      <c r="R154" s="287" t="str">
        <f t="array" ref="R154">if(K154=0,"",INDEX('Biaya Gratis Ongkir Xtra'!$C$7:$C$10, MATCH(K154, 'Biaya Gratis Ongkir Xtra'!$B$7:$B$10, 0)))</f>
        <v/>
      </c>
      <c r="S154" s="288" t="str">
        <f t="shared" si="4"/>
        <v/>
      </c>
      <c r="T154" s="273" t="str">
        <f t="shared" si="13"/>
        <v/>
      </c>
      <c r="U154" s="287" t="str">
        <f t="array" ref="U154">if(C154=0,"",INDEX('Biaya Gratis Ongkir Xtra'!$C$3:$C$4, MATCH(L154, 'Biaya Gratis Ongkir Xtra'!$B$3:$B$4, 0)))</f>
        <v/>
      </c>
      <c r="V154" s="288" t="str">
        <f t="shared" si="6"/>
        <v/>
      </c>
      <c r="W154" s="264"/>
      <c r="X154" s="289" t="str">
        <f t="shared" si="7"/>
        <v/>
      </c>
      <c r="Y154" s="290" t="str">
        <f t="shared" si="8"/>
        <v/>
      </c>
      <c r="Z154" s="291" t="str">
        <f t="shared" si="9"/>
        <v/>
      </c>
      <c r="AA154" s="289" t="str">
        <f t="shared" si="10"/>
        <v/>
      </c>
      <c r="AB154" s="291" t="str">
        <f t="shared" si="11"/>
        <v/>
      </c>
      <c r="AC154" s="292" t="str">
        <f t="shared" si="12"/>
        <v/>
      </c>
      <c r="AD154" s="281"/>
      <c r="AE154" s="22"/>
    </row>
    <row r="155">
      <c r="A155" s="264"/>
      <c r="B155" s="267"/>
      <c r="C155" s="265"/>
      <c r="D155" s="265"/>
      <c r="E155" s="265"/>
      <c r="F155" s="266"/>
      <c r="G155" s="267" t="str">
        <f t="shared" si="1"/>
        <v/>
      </c>
      <c r="H155" s="264"/>
      <c r="I155" s="282"/>
      <c r="J155" s="282"/>
      <c r="K155" s="282"/>
      <c r="L155" s="282"/>
      <c r="M155" s="269"/>
      <c r="N155" s="283" t="str">
        <f t="array" ref="N155">if(C155=0,"",INDEX('Biaya Administrasi'!E:E, MATCH(I155, 'Biaya Administrasi'!B:B, 0)))</f>
        <v/>
      </c>
      <c r="O155" s="284" t="str">
        <f t="shared" si="2"/>
        <v/>
      </c>
      <c r="P155" s="285" t="str">
        <f t="array" ref="P155">if(J155=0,"",INDEX('Biaya Gratis Ongkir Xtra'!D:D, MATCH(J155, 'Biaya Gratis Ongkir Xtra'!C:C, 0)))</f>
        <v/>
      </c>
      <c r="Q155" s="286" t="str">
        <f t="shared" si="3"/>
        <v/>
      </c>
      <c r="R155" s="287" t="str">
        <f t="array" ref="R155">if(K155=0,"",INDEX('Biaya Gratis Ongkir Xtra'!$C$7:$C$10, MATCH(K155, 'Biaya Gratis Ongkir Xtra'!$B$7:$B$10, 0)))</f>
        <v/>
      </c>
      <c r="S155" s="288" t="str">
        <f t="shared" si="4"/>
        <v/>
      </c>
      <c r="T155" s="273" t="str">
        <f t="shared" si="13"/>
        <v/>
      </c>
      <c r="U155" s="287" t="str">
        <f t="array" ref="U155">if(C155=0,"",INDEX('Biaya Gratis Ongkir Xtra'!$C$3:$C$4, MATCH(L155, 'Biaya Gratis Ongkir Xtra'!$B$3:$B$4, 0)))</f>
        <v/>
      </c>
      <c r="V155" s="288" t="str">
        <f t="shared" si="6"/>
        <v/>
      </c>
      <c r="W155" s="264"/>
      <c r="X155" s="289" t="str">
        <f t="shared" si="7"/>
        <v/>
      </c>
      <c r="Y155" s="290" t="str">
        <f t="shared" si="8"/>
        <v/>
      </c>
      <c r="Z155" s="291" t="str">
        <f t="shared" si="9"/>
        <v/>
      </c>
      <c r="AA155" s="289" t="str">
        <f t="shared" si="10"/>
        <v/>
      </c>
      <c r="AB155" s="291" t="str">
        <f t="shared" si="11"/>
        <v/>
      </c>
      <c r="AC155" s="292" t="str">
        <f t="shared" si="12"/>
        <v/>
      </c>
      <c r="AD155" s="281"/>
      <c r="AE155" s="22"/>
    </row>
    <row r="156">
      <c r="A156" s="264"/>
      <c r="B156" s="267"/>
      <c r="C156" s="265"/>
      <c r="D156" s="265"/>
      <c r="E156" s="265"/>
      <c r="F156" s="266"/>
      <c r="G156" s="267" t="str">
        <f t="shared" si="1"/>
        <v/>
      </c>
      <c r="H156" s="264"/>
      <c r="I156" s="282"/>
      <c r="J156" s="282"/>
      <c r="K156" s="282"/>
      <c r="L156" s="282"/>
      <c r="M156" s="269"/>
      <c r="N156" s="283" t="str">
        <f t="array" ref="N156">if(C156=0,"",INDEX('Biaya Administrasi'!E:E, MATCH(I156, 'Biaya Administrasi'!B:B, 0)))</f>
        <v/>
      </c>
      <c r="O156" s="284" t="str">
        <f t="shared" si="2"/>
        <v/>
      </c>
      <c r="P156" s="285" t="str">
        <f t="array" ref="P156">if(J156=0,"",INDEX('Biaya Gratis Ongkir Xtra'!D:D, MATCH(J156, 'Biaya Gratis Ongkir Xtra'!C:C, 0)))</f>
        <v/>
      </c>
      <c r="Q156" s="286" t="str">
        <f t="shared" si="3"/>
        <v/>
      </c>
      <c r="R156" s="287" t="str">
        <f t="array" ref="R156">if(K156=0,"",INDEX('Biaya Gratis Ongkir Xtra'!$C$7:$C$10, MATCH(K156, 'Biaya Gratis Ongkir Xtra'!$B$7:$B$10, 0)))</f>
        <v/>
      </c>
      <c r="S156" s="288" t="str">
        <f t="shared" si="4"/>
        <v/>
      </c>
      <c r="T156" s="273" t="str">
        <f t="shared" si="13"/>
        <v/>
      </c>
      <c r="U156" s="287" t="str">
        <f t="array" ref="U156">if(C156=0,"",INDEX('Biaya Gratis Ongkir Xtra'!$C$3:$C$4, MATCH(L156, 'Biaya Gratis Ongkir Xtra'!$B$3:$B$4, 0)))</f>
        <v/>
      </c>
      <c r="V156" s="288" t="str">
        <f t="shared" si="6"/>
        <v/>
      </c>
      <c r="W156" s="264"/>
      <c r="X156" s="289" t="str">
        <f t="shared" si="7"/>
        <v/>
      </c>
      <c r="Y156" s="290" t="str">
        <f t="shared" si="8"/>
        <v/>
      </c>
      <c r="Z156" s="291" t="str">
        <f t="shared" si="9"/>
        <v/>
      </c>
      <c r="AA156" s="289" t="str">
        <f t="shared" si="10"/>
        <v/>
      </c>
      <c r="AB156" s="291" t="str">
        <f t="shared" si="11"/>
        <v/>
      </c>
      <c r="AC156" s="292" t="str">
        <f t="shared" si="12"/>
        <v/>
      </c>
      <c r="AD156" s="281"/>
      <c r="AE156" s="22"/>
    </row>
    <row r="157">
      <c r="A157" s="264"/>
      <c r="B157" s="267"/>
      <c r="C157" s="265"/>
      <c r="D157" s="265"/>
      <c r="E157" s="265"/>
      <c r="F157" s="266"/>
      <c r="G157" s="267" t="str">
        <f t="shared" si="1"/>
        <v/>
      </c>
      <c r="H157" s="264"/>
      <c r="I157" s="282"/>
      <c r="J157" s="282"/>
      <c r="K157" s="282"/>
      <c r="L157" s="282"/>
      <c r="M157" s="269"/>
      <c r="N157" s="283" t="str">
        <f t="array" ref="N157">if(C157=0,"",INDEX('Biaya Administrasi'!E:E, MATCH(I157, 'Biaya Administrasi'!B:B, 0)))</f>
        <v/>
      </c>
      <c r="O157" s="284" t="str">
        <f t="shared" si="2"/>
        <v/>
      </c>
      <c r="P157" s="285" t="str">
        <f t="array" ref="P157">if(J157=0,"",INDEX('Biaya Gratis Ongkir Xtra'!D:D, MATCH(J157, 'Biaya Gratis Ongkir Xtra'!C:C, 0)))</f>
        <v/>
      </c>
      <c r="Q157" s="286" t="str">
        <f t="shared" si="3"/>
        <v/>
      </c>
      <c r="R157" s="287" t="str">
        <f t="array" ref="R157">if(K157=0,"",INDEX('Biaya Gratis Ongkir Xtra'!$C$7:$C$10, MATCH(K157, 'Biaya Gratis Ongkir Xtra'!$B$7:$B$10, 0)))</f>
        <v/>
      </c>
      <c r="S157" s="288" t="str">
        <f t="shared" si="4"/>
        <v/>
      </c>
      <c r="T157" s="273" t="str">
        <f t="shared" si="13"/>
        <v/>
      </c>
      <c r="U157" s="287" t="str">
        <f t="array" ref="U157">if(C157=0,"",INDEX('Biaya Gratis Ongkir Xtra'!$C$3:$C$4, MATCH(L157, 'Biaya Gratis Ongkir Xtra'!$B$3:$B$4, 0)))</f>
        <v/>
      </c>
      <c r="V157" s="288" t="str">
        <f t="shared" si="6"/>
        <v/>
      </c>
      <c r="W157" s="264"/>
      <c r="X157" s="289" t="str">
        <f t="shared" si="7"/>
        <v/>
      </c>
      <c r="Y157" s="290" t="str">
        <f t="shared" si="8"/>
        <v/>
      </c>
      <c r="Z157" s="291" t="str">
        <f t="shared" si="9"/>
        <v/>
      </c>
      <c r="AA157" s="289" t="str">
        <f t="shared" si="10"/>
        <v/>
      </c>
      <c r="AB157" s="291" t="str">
        <f t="shared" si="11"/>
        <v/>
      </c>
      <c r="AC157" s="292" t="str">
        <f t="shared" si="12"/>
        <v/>
      </c>
      <c r="AD157" s="281"/>
      <c r="AE157" s="22"/>
    </row>
    <row r="158">
      <c r="A158" s="264"/>
      <c r="B158" s="267"/>
      <c r="C158" s="265"/>
      <c r="D158" s="265"/>
      <c r="E158" s="265"/>
      <c r="F158" s="266"/>
      <c r="G158" s="267" t="str">
        <f t="shared" si="1"/>
        <v/>
      </c>
      <c r="H158" s="264"/>
      <c r="I158" s="282"/>
      <c r="J158" s="282"/>
      <c r="K158" s="282"/>
      <c r="L158" s="282"/>
      <c r="M158" s="269"/>
      <c r="N158" s="283" t="str">
        <f t="array" ref="N158">if(C158=0,"",INDEX('Biaya Administrasi'!E:E, MATCH(I158, 'Biaya Administrasi'!B:B, 0)))</f>
        <v/>
      </c>
      <c r="O158" s="284" t="str">
        <f t="shared" si="2"/>
        <v/>
      </c>
      <c r="P158" s="285" t="str">
        <f t="array" ref="P158">if(J158=0,"",INDEX('Biaya Gratis Ongkir Xtra'!D:D, MATCH(J158, 'Biaya Gratis Ongkir Xtra'!C:C, 0)))</f>
        <v/>
      </c>
      <c r="Q158" s="286" t="str">
        <f t="shared" si="3"/>
        <v/>
      </c>
      <c r="R158" s="287" t="str">
        <f t="array" ref="R158">if(K158=0,"",INDEX('Biaya Gratis Ongkir Xtra'!$C$7:$C$10, MATCH(K158, 'Biaya Gratis Ongkir Xtra'!$B$7:$B$10, 0)))</f>
        <v/>
      </c>
      <c r="S158" s="288" t="str">
        <f t="shared" si="4"/>
        <v/>
      </c>
      <c r="T158" s="273" t="str">
        <f t="shared" si="13"/>
        <v/>
      </c>
      <c r="U158" s="287" t="str">
        <f t="array" ref="U158">if(C158=0,"",INDEX('Biaya Gratis Ongkir Xtra'!$C$3:$C$4, MATCH(L158, 'Biaya Gratis Ongkir Xtra'!$B$3:$B$4, 0)))</f>
        <v/>
      </c>
      <c r="V158" s="288" t="str">
        <f t="shared" si="6"/>
        <v/>
      </c>
      <c r="W158" s="264"/>
      <c r="X158" s="289" t="str">
        <f t="shared" si="7"/>
        <v/>
      </c>
      <c r="Y158" s="290" t="str">
        <f t="shared" si="8"/>
        <v/>
      </c>
      <c r="Z158" s="291" t="str">
        <f t="shared" si="9"/>
        <v/>
      </c>
      <c r="AA158" s="289" t="str">
        <f t="shared" si="10"/>
        <v/>
      </c>
      <c r="AB158" s="291" t="str">
        <f t="shared" si="11"/>
        <v/>
      </c>
      <c r="AC158" s="292" t="str">
        <f t="shared" si="12"/>
        <v/>
      </c>
      <c r="AD158" s="281"/>
      <c r="AE158" s="22"/>
    </row>
    <row r="159">
      <c r="A159" s="264"/>
      <c r="B159" s="267"/>
      <c r="C159" s="265"/>
      <c r="D159" s="265"/>
      <c r="E159" s="265"/>
      <c r="F159" s="266"/>
      <c r="G159" s="267" t="str">
        <f t="shared" si="1"/>
        <v/>
      </c>
      <c r="H159" s="264"/>
      <c r="I159" s="282"/>
      <c r="J159" s="282"/>
      <c r="K159" s="282"/>
      <c r="L159" s="282"/>
      <c r="M159" s="269"/>
      <c r="N159" s="283" t="str">
        <f t="array" ref="N159">if(C159=0,"",INDEX('Biaya Administrasi'!E:E, MATCH(I159, 'Biaya Administrasi'!B:B, 0)))</f>
        <v/>
      </c>
      <c r="O159" s="284" t="str">
        <f t="shared" si="2"/>
        <v/>
      </c>
      <c r="P159" s="285" t="str">
        <f t="array" ref="P159">if(J159=0,"",INDEX('Biaya Gratis Ongkir Xtra'!D:D, MATCH(J159, 'Biaya Gratis Ongkir Xtra'!C:C, 0)))</f>
        <v/>
      </c>
      <c r="Q159" s="286" t="str">
        <f t="shared" si="3"/>
        <v/>
      </c>
      <c r="R159" s="287" t="str">
        <f t="array" ref="R159">if(K159=0,"",INDEX('Biaya Gratis Ongkir Xtra'!$C$7:$C$10, MATCH(K159, 'Biaya Gratis Ongkir Xtra'!$B$7:$B$10, 0)))</f>
        <v/>
      </c>
      <c r="S159" s="288" t="str">
        <f t="shared" si="4"/>
        <v/>
      </c>
      <c r="T159" s="273" t="str">
        <f t="shared" si="13"/>
        <v/>
      </c>
      <c r="U159" s="287" t="str">
        <f t="array" ref="U159">if(C159=0,"",INDEX('Biaya Gratis Ongkir Xtra'!$C$3:$C$4, MATCH(L159, 'Biaya Gratis Ongkir Xtra'!$B$3:$B$4, 0)))</f>
        <v/>
      </c>
      <c r="V159" s="288" t="str">
        <f t="shared" si="6"/>
        <v/>
      </c>
      <c r="W159" s="264"/>
      <c r="X159" s="289" t="str">
        <f t="shared" si="7"/>
        <v/>
      </c>
      <c r="Y159" s="290" t="str">
        <f t="shared" si="8"/>
        <v/>
      </c>
      <c r="Z159" s="291" t="str">
        <f t="shared" si="9"/>
        <v/>
      </c>
      <c r="AA159" s="289" t="str">
        <f t="shared" si="10"/>
        <v/>
      </c>
      <c r="AB159" s="291" t="str">
        <f t="shared" si="11"/>
        <v/>
      </c>
      <c r="AC159" s="292" t="str">
        <f t="shared" si="12"/>
        <v/>
      </c>
      <c r="AD159" s="281"/>
      <c r="AE159" s="22"/>
    </row>
    <row r="160">
      <c r="A160" s="264"/>
      <c r="B160" s="267"/>
      <c r="C160" s="265"/>
      <c r="D160" s="265"/>
      <c r="E160" s="265"/>
      <c r="F160" s="266"/>
      <c r="G160" s="267" t="str">
        <f t="shared" si="1"/>
        <v/>
      </c>
      <c r="H160" s="264"/>
      <c r="I160" s="282"/>
      <c r="J160" s="282"/>
      <c r="K160" s="282"/>
      <c r="L160" s="282"/>
      <c r="M160" s="269"/>
      <c r="N160" s="283" t="str">
        <f t="array" ref="N160">if(C160=0,"",INDEX('Biaya Administrasi'!E:E, MATCH(I160, 'Biaya Administrasi'!B:B, 0)))</f>
        <v/>
      </c>
      <c r="O160" s="284" t="str">
        <f t="shared" si="2"/>
        <v/>
      </c>
      <c r="P160" s="285" t="str">
        <f t="array" ref="P160">if(J160=0,"",INDEX('Biaya Gratis Ongkir Xtra'!D:D, MATCH(J160, 'Biaya Gratis Ongkir Xtra'!C:C, 0)))</f>
        <v/>
      </c>
      <c r="Q160" s="286" t="str">
        <f t="shared" si="3"/>
        <v/>
      </c>
      <c r="R160" s="287" t="str">
        <f t="array" ref="R160">if(K160=0,"",INDEX('Biaya Gratis Ongkir Xtra'!$C$7:$C$10, MATCH(K160, 'Biaya Gratis Ongkir Xtra'!$B$7:$B$10, 0)))</f>
        <v/>
      </c>
      <c r="S160" s="288" t="str">
        <f t="shared" si="4"/>
        <v/>
      </c>
      <c r="T160" s="273" t="str">
        <f t="shared" si="13"/>
        <v/>
      </c>
      <c r="U160" s="287" t="str">
        <f t="array" ref="U160">if(C160=0,"",INDEX('Biaya Gratis Ongkir Xtra'!$C$3:$C$4, MATCH(L160, 'Biaya Gratis Ongkir Xtra'!$B$3:$B$4, 0)))</f>
        <v/>
      </c>
      <c r="V160" s="288" t="str">
        <f t="shared" si="6"/>
        <v/>
      </c>
      <c r="W160" s="264"/>
      <c r="X160" s="289" t="str">
        <f t="shared" si="7"/>
        <v/>
      </c>
      <c r="Y160" s="290" t="str">
        <f t="shared" si="8"/>
        <v/>
      </c>
      <c r="Z160" s="291" t="str">
        <f t="shared" si="9"/>
        <v/>
      </c>
      <c r="AA160" s="289" t="str">
        <f t="shared" si="10"/>
        <v/>
      </c>
      <c r="AB160" s="291" t="str">
        <f t="shared" si="11"/>
        <v/>
      </c>
      <c r="AC160" s="292" t="str">
        <f t="shared" si="12"/>
        <v/>
      </c>
      <c r="AD160" s="281"/>
      <c r="AE160" s="22"/>
    </row>
    <row r="161">
      <c r="A161" s="264"/>
      <c r="B161" s="267"/>
      <c r="C161" s="265"/>
      <c r="D161" s="265"/>
      <c r="E161" s="265"/>
      <c r="F161" s="266"/>
      <c r="G161" s="267" t="str">
        <f t="shared" si="1"/>
        <v/>
      </c>
      <c r="H161" s="264"/>
      <c r="I161" s="282"/>
      <c r="J161" s="282"/>
      <c r="K161" s="282"/>
      <c r="L161" s="282"/>
      <c r="M161" s="269"/>
      <c r="N161" s="283" t="str">
        <f t="array" ref="N161">if(C161=0,"",INDEX('Biaya Administrasi'!E:E, MATCH(I161, 'Biaya Administrasi'!B:B, 0)))</f>
        <v/>
      </c>
      <c r="O161" s="284" t="str">
        <f t="shared" si="2"/>
        <v/>
      </c>
      <c r="P161" s="285" t="str">
        <f t="array" ref="P161">if(J161=0,"",INDEX('Biaya Gratis Ongkir Xtra'!D:D, MATCH(J161, 'Biaya Gratis Ongkir Xtra'!C:C, 0)))</f>
        <v/>
      </c>
      <c r="Q161" s="286" t="str">
        <f t="shared" si="3"/>
        <v/>
      </c>
      <c r="R161" s="287" t="str">
        <f t="array" ref="R161">if(K161=0,"",INDEX('Biaya Gratis Ongkir Xtra'!$C$7:$C$10, MATCH(K161, 'Biaya Gratis Ongkir Xtra'!$B$7:$B$10, 0)))</f>
        <v/>
      </c>
      <c r="S161" s="288" t="str">
        <f t="shared" si="4"/>
        <v/>
      </c>
      <c r="T161" s="273" t="str">
        <f t="shared" si="13"/>
        <v/>
      </c>
      <c r="U161" s="287" t="str">
        <f t="array" ref="U161">if(C161=0,"",INDEX('Biaya Gratis Ongkir Xtra'!$C$3:$C$4, MATCH(L161, 'Biaya Gratis Ongkir Xtra'!$B$3:$B$4, 0)))</f>
        <v/>
      </c>
      <c r="V161" s="288" t="str">
        <f t="shared" si="6"/>
        <v/>
      </c>
      <c r="W161" s="264"/>
      <c r="X161" s="289" t="str">
        <f t="shared" si="7"/>
        <v/>
      </c>
      <c r="Y161" s="290" t="str">
        <f t="shared" si="8"/>
        <v/>
      </c>
      <c r="Z161" s="291" t="str">
        <f t="shared" si="9"/>
        <v/>
      </c>
      <c r="AA161" s="289" t="str">
        <f t="shared" si="10"/>
        <v/>
      </c>
      <c r="AB161" s="291" t="str">
        <f t="shared" si="11"/>
        <v/>
      </c>
      <c r="AC161" s="292" t="str">
        <f t="shared" si="12"/>
        <v/>
      </c>
      <c r="AD161" s="281"/>
      <c r="AE161" s="22"/>
    </row>
    <row r="162">
      <c r="A162" s="264"/>
      <c r="B162" s="267"/>
      <c r="C162" s="265"/>
      <c r="D162" s="265"/>
      <c r="E162" s="265"/>
      <c r="F162" s="266"/>
      <c r="G162" s="267" t="str">
        <f t="shared" si="1"/>
        <v/>
      </c>
      <c r="H162" s="264"/>
      <c r="I162" s="282"/>
      <c r="J162" s="282"/>
      <c r="K162" s="282"/>
      <c r="L162" s="282"/>
      <c r="M162" s="269"/>
      <c r="N162" s="283" t="str">
        <f t="array" ref="N162">if(C162=0,"",INDEX('Biaya Administrasi'!E:E, MATCH(I162, 'Biaya Administrasi'!B:B, 0)))</f>
        <v/>
      </c>
      <c r="O162" s="284" t="str">
        <f t="shared" si="2"/>
        <v/>
      </c>
      <c r="P162" s="285" t="str">
        <f t="array" ref="P162">if(J162=0,"",INDEX('Biaya Gratis Ongkir Xtra'!D:D, MATCH(J162, 'Biaya Gratis Ongkir Xtra'!C:C, 0)))</f>
        <v/>
      </c>
      <c r="Q162" s="286" t="str">
        <f t="shared" si="3"/>
        <v/>
      </c>
      <c r="R162" s="287" t="str">
        <f t="array" ref="R162">if(K162=0,"",INDEX('Biaya Gratis Ongkir Xtra'!$C$7:$C$10, MATCH(K162, 'Biaya Gratis Ongkir Xtra'!$B$7:$B$10, 0)))</f>
        <v/>
      </c>
      <c r="S162" s="288" t="str">
        <f t="shared" si="4"/>
        <v/>
      </c>
      <c r="T162" s="273" t="str">
        <f t="shared" si="13"/>
        <v/>
      </c>
      <c r="U162" s="287" t="str">
        <f t="array" ref="U162">if(C162=0,"",INDEX('Biaya Gratis Ongkir Xtra'!$C$3:$C$4, MATCH(L162, 'Biaya Gratis Ongkir Xtra'!$B$3:$B$4, 0)))</f>
        <v/>
      </c>
      <c r="V162" s="288" t="str">
        <f t="shared" si="6"/>
        <v/>
      </c>
      <c r="W162" s="264"/>
      <c r="X162" s="289" t="str">
        <f t="shared" si="7"/>
        <v/>
      </c>
      <c r="Y162" s="290" t="str">
        <f t="shared" si="8"/>
        <v/>
      </c>
      <c r="Z162" s="291" t="str">
        <f t="shared" si="9"/>
        <v/>
      </c>
      <c r="AA162" s="289" t="str">
        <f t="shared" si="10"/>
        <v/>
      </c>
      <c r="AB162" s="291" t="str">
        <f t="shared" si="11"/>
        <v/>
      </c>
      <c r="AC162" s="292" t="str">
        <f t="shared" si="12"/>
        <v/>
      </c>
      <c r="AD162" s="281"/>
      <c r="AE162" s="22"/>
    </row>
    <row r="163">
      <c r="A163" s="264"/>
      <c r="B163" s="267"/>
      <c r="C163" s="265"/>
      <c r="D163" s="265"/>
      <c r="E163" s="265"/>
      <c r="F163" s="266"/>
      <c r="G163" s="267" t="str">
        <f t="shared" si="1"/>
        <v/>
      </c>
      <c r="H163" s="264"/>
      <c r="I163" s="282"/>
      <c r="J163" s="282"/>
      <c r="K163" s="282"/>
      <c r="L163" s="282"/>
      <c r="M163" s="269"/>
      <c r="N163" s="283" t="str">
        <f t="array" ref="N163">if(C163=0,"",INDEX('Biaya Administrasi'!E:E, MATCH(I163, 'Biaya Administrasi'!B:B, 0)))</f>
        <v/>
      </c>
      <c r="O163" s="284" t="str">
        <f t="shared" si="2"/>
        <v/>
      </c>
      <c r="P163" s="285" t="str">
        <f t="array" ref="P163">if(J163=0,"",INDEX('Biaya Gratis Ongkir Xtra'!D:D, MATCH(J163, 'Biaya Gratis Ongkir Xtra'!C:C, 0)))</f>
        <v/>
      </c>
      <c r="Q163" s="286" t="str">
        <f t="shared" si="3"/>
        <v/>
      </c>
      <c r="R163" s="287" t="str">
        <f t="array" ref="R163">if(K163=0,"",INDEX('Biaya Gratis Ongkir Xtra'!$C$7:$C$10, MATCH(K163, 'Biaya Gratis Ongkir Xtra'!$B$7:$B$10, 0)))</f>
        <v/>
      </c>
      <c r="S163" s="288" t="str">
        <f t="shared" si="4"/>
        <v/>
      </c>
      <c r="T163" s="273" t="str">
        <f t="shared" si="13"/>
        <v/>
      </c>
      <c r="U163" s="287" t="str">
        <f t="array" ref="U163">if(C163=0,"",INDEX('Biaya Gratis Ongkir Xtra'!$C$3:$C$4, MATCH(L163, 'Biaya Gratis Ongkir Xtra'!$B$3:$B$4, 0)))</f>
        <v/>
      </c>
      <c r="V163" s="288" t="str">
        <f t="shared" si="6"/>
        <v/>
      </c>
      <c r="W163" s="264"/>
      <c r="X163" s="289" t="str">
        <f t="shared" si="7"/>
        <v/>
      </c>
      <c r="Y163" s="290" t="str">
        <f t="shared" si="8"/>
        <v/>
      </c>
      <c r="Z163" s="291" t="str">
        <f t="shared" si="9"/>
        <v/>
      </c>
      <c r="AA163" s="289" t="str">
        <f t="shared" si="10"/>
        <v/>
      </c>
      <c r="AB163" s="291" t="str">
        <f t="shared" si="11"/>
        <v/>
      </c>
      <c r="AC163" s="292" t="str">
        <f t="shared" si="12"/>
        <v/>
      </c>
      <c r="AD163" s="281"/>
      <c r="AE163" s="22"/>
    </row>
    <row r="164">
      <c r="A164" s="264"/>
      <c r="B164" s="267"/>
      <c r="C164" s="265"/>
      <c r="D164" s="265"/>
      <c r="E164" s="265"/>
      <c r="F164" s="266"/>
      <c r="G164" s="267" t="str">
        <f t="shared" si="1"/>
        <v/>
      </c>
      <c r="H164" s="264"/>
      <c r="I164" s="282"/>
      <c r="J164" s="282"/>
      <c r="K164" s="282"/>
      <c r="L164" s="282"/>
      <c r="M164" s="269"/>
      <c r="N164" s="283" t="str">
        <f t="array" ref="N164">if(C164=0,"",INDEX('Biaya Administrasi'!E:E, MATCH(I164, 'Biaya Administrasi'!B:B, 0)))</f>
        <v/>
      </c>
      <c r="O164" s="284" t="str">
        <f t="shared" si="2"/>
        <v/>
      </c>
      <c r="P164" s="285" t="str">
        <f t="array" ref="P164">if(J164=0,"",INDEX('Biaya Gratis Ongkir Xtra'!D:D, MATCH(J164, 'Biaya Gratis Ongkir Xtra'!C:C, 0)))</f>
        <v/>
      </c>
      <c r="Q164" s="286" t="str">
        <f t="shared" si="3"/>
        <v/>
      </c>
      <c r="R164" s="287" t="str">
        <f t="array" ref="R164">if(K164=0,"",INDEX('Biaya Gratis Ongkir Xtra'!$C$7:$C$10, MATCH(K164, 'Biaya Gratis Ongkir Xtra'!$B$7:$B$10, 0)))</f>
        <v/>
      </c>
      <c r="S164" s="288" t="str">
        <f t="shared" si="4"/>
        <v/>
      </c>
      <c r="T164" s="273" t="str">
        <f t="shared" si="13"/>
        <v/>
      </c>
      <c r="U164" s="287" t="str">
        <f t="array" ref="U164">if(C164=0,"",INDEX('Biaya Gratis Ongkir Xtra'!$C$3:$C$4, MATCH(L164, 'Biaya Gratis Ongkir Xtra'!$B$3:$B$4, 0)))</f>
        <v/>
      </c>
      <c r="V164" s="288" t="str">
        <f t="shared" si="6"/>
        <v/>
      </c>
      <c r="W164" s="264"/>
      <c r="X164" s="289" t="str">
        <f t="shared" si="7"/>
        <v/>
      </c>
      <c r="Y164" s="290" t="str">
        <f t="shared" si="8"/>
        <v/>
      </c>
      <c r="Z164" s="291" t="str">
        <f t="shared" si="9"/>
        <v/>
      </c>
      <c r="AA164" s="289" t="str">
        <f t="shared" si="10"/>
        <v/>
      </c>
      <c r="AB164" s="291" t="str">
        <f t="shared" si="11"/>
        <v/>
      </c>
      <c r="AC164" s="292" t="str">
        <f t="shared" si="12"/>
        <v/>
      </c>
      <c r="AD164" s="281"/>
      <c r="AE164" s="22"/>
    </row>
    <row r="165">
      <c r="A165" s="264"/>
      <c r="B165" s="267"/>
      <c r="C165" s="265"/>
      <c r="D165" s="265"/>
      <c r="E165" s="265"/>
      <c r="F165" s="266"/>
      <c r="G165" s="267" t="str">
        <f t="shared" si="1"/>
        <v/>
      </c>
      <c r="H165" s="264"/>
      <c r="I165" s="282"/>
      <c r="J165" s="282"/>
      <c r="K165" s="282"/>
      <c r="L165" s="282"/>
      <c r="M165" s="269"/>
      <c r="N165" s="283" t="str">
        <f t="array" ref="N165">if(C165=0,"",INDEX('Biaya Administrasi'!E:E, MATCH(I165, 'Biaya Administrasi'!B:B, 0)))</f>
        <v/>
      </c>
      <c r="O165" s="284" t="str">
        <f t="shared" si="2"/>
        <v/>
      </c>
      <c r="P165" s="285" t="str">
        <f t="array" ref="P165">if(J165=0,"",INDEX('Biaya Gratis Ongkir Xtra'!D:D, MATCH(J165, 'Biaya Gratis Ongkir Xtra'!C:C, 0)))</f>
        <v/>
      </c>
      <c r="Q165" s="286" t="str">
        <f t="shared" si="3"/>
        <v/>
      </c>
      <c r="R165" s="287" t="str">
        <f t="array" ref="R165">if(K165=0,"",INDEX('Biaya Gratis Ongkir Xtra'!$C$7:$C$10, MATCH(K165, 'Biaya Gratis Ongkir Xtra'!$B$7:$B$10, 0)))</f>
        <v/>
      </c>
      <c r="S165" s="288" t="str">
        <f t="shared" si="4"/>
        <v/>
      </c>
      <c r="T165" s="273" t="str">
        <f t="shared" si="13"/>
        <v/>
      </c>
      <c r="U165" s="287" t="str">
        <f t="array" ref="U165">if(C165=0,"",INDEX('Biaya Gratis Ongkir Xtra'!$C$3:$C$4, MATCH(L165, 'Biaya Gratis Ongkir Xtra'!$B$3:$B$4, 0)))</f>
        <v/>
      </c>
      <c r="V165" s="288" t="str">
        <f t="shared" si="6"/>
        <v/>
      </c>
      <c r="W165" s="264"/>
      <c r="X165" s="289" t="str">
        <f t="shared" si="7"/>
        <v/>
      </c>
      <c r="Y165" s="290" t="str">
        <f t="shared" si="8"/>
        <v/>
      </c>
      <c r="Z165" s="291" t="str">
        <f t="shared" si="9"/>
        <v/>
      </c>
      <c r="AA165" s="289" t="str">
        <f t="shared" si="10"/>
        <v/>
      </c>
      <c r="AB165" s="291" t="str">
        <f t="shared" si="11"/>
        <v/>
      </c>
      <c r="AC165" s="292" t="str">
        <f t="shared" si="12"/>
        <v/>
      </c>
      <c r="AD165" s="281"/>
      <c r="AE165" s="22"/>
    </row>
    <row r="166">
      <c r="A166" s="264"/>
      <c r="B166" s="267"/>
      <c r="C166" s="265"/>
      <c r="D166" s="265"/>
      <c r="E166" s="265"/>
      <c r="F166" s="266"/>
      <c r="G166" s="267" t="str">
        <f t="shared" si="1"/>
        <v/>
      </c>
      <c r="H166" s="264"/>
      <c r="I166" s="282"/>
      <c r="J166" s="282"/>
      <c r="K166" s="282"/>
      <c r="L166" s="282"/>
      <c r="M166" s="269"/>
      <c r="N166" s="283" t="str">
        <f t="array" ref="N166">if(C166=0,"",INDEX('Biaya Administrasi'!E:E, MATCH(I166, 'Biaya Administrasi'!B:B, 0)))</f>
        <v/>
      </c>
      <c r="O166" s="284" t="str">
        <f t="shared" si="2"/>
        <v/>
      </c>
      <c r="P166" s="285" t="str">
        <f t="array" ref="P166">if(J166=0,"",INDEX('Biaya Gratis Ongkir Xtra'!D:D, MATCH(J166, 'Biaya Gratis Ongkir Xtra'!C:C, 0)))</f>
        <v/>
      </c>
      <c r="Q166" s="286" t="str">
        <f t="shared" si="3"/>
        <v/>
      </c>
      <c r="R166" s="287" t="str">
        <f t="array" ref="R166">if(K166=0,"",INDEX('Biaya Gratis Ongkir Xtra'!$C$7:$C$10, MATCH(K166, 'Biaya Gratis Ongkir Xtra'!$B$7:$B$10, 0)))</f>
        <v/>
      </c>
      <c r="S166" s="288" t="str">
        <f t="shared" si="4"/>
        <v/>
      </c>
      <c r="T166" s="273" t="str">
        <f t="shared" si="13"/>
        <v/>
      </c>
      <c r="U166" s="287" t="str">
        <f t="array" ref="U166">if(C166=0,"",INDEX('Biaya Gratis Ongkir Xtra'!$C$3:$C$4, MATCH(L166, 'Biaya Gratis Ongkir Xtra'!$B$3:$B$4, 0)))</f>
        <v/>
      </c>
      <c r="V166" s="288" t="str">
        <f t="shared" si="6"/>
        <v/>
      </c>
      <c r="W166" s="264"/>
      <c r="X166" s="289" t="str">
        <f t="shared" si="7"/>
        <v/>
      </c>
      <c r="Y166" s="290" t="str">
        <f t="shared" si="8"/>
        <v/>
      </c>
      <c r="Z166" s="291" t="str">
        <f t="shared" si="9"/>
        <v/>
      </c>
      <c r="AA166" s="289" t="str">
        <f t="shared" si="10"/>
        <v/>
      </c>
      <c r="AB166" s="291" t="str">
        <f t="shared" si="11"/>
        <v/>
      </c>
      <c r="AC166" s="292" t="str">
        <f t="shared" si="12"/>
        <v/>
      </c>
      <c r="AD166" s="281"/>
      <c r="AE166" s="22"/>
    </row>
    <row r="167">
      <c r="A167" s="264"/>
      <c r="B167" s="267"/>
      <c r="C167" s="265"/>
      <c r="D167" s="265"/>
      <c r="E167" s="265"/>
      <c r="F167" s="266"/>
      <c r="G167" s="267" t="str">
        <f t="shared" si="1"/>
        <v/>
      </c>
      <c r="H167" s="264"/>
      <c r="I167" s="282"/>
      <c r="J167" s="282"/>
      <c r="K167" s="282"/>
      <c r="L167" s="282"/>
      <c r="M167" s="269"/>
      <c r="N167" s="283" t="str">
        <f t="array" ref="N167">if(C167=0,"",INDEX('Biaya Administrasi'!E:E, MATCH(I167, 'Biaya Administrasi'!B:B, 0)))</f>
        <v/>
      </c>
      <c r="O167" s="284" t="str">
        <f t="shared" si="2"/>
        <v/>
      </c>
      <c r="P167" s="285" t="str">
        <f t="array" ref="P167">if(J167=0,"",INDEX('Biaya Gratis Ongkir Xtra'!D:D, MATCH(J167, 'Biaya Gratis Ongkir Xtra'!C:C, 0)))</f>
        <v/>
      </c>
      <c r="Q167" s="286" t="str">
        <f t="shared" si="3"/>
        <v/>
      </c>
      <c r="R167" s="287" t="str">
        <f t="array" ref="R167">if(K167=0,"",INDEX('Biaya Gratis Ongkir Xtra'!$C$7:$C$10, MATCH(K167, 'Biaya Gratis Ongkir Xtra'!$B$7:$B$10, 0)))</f>
        <v/>
      </c>
      <c r="S167" s="288" t="str">
        <f t="shared" si="4"/>
        <v/>
      </c>
      <c r="T167" s="273" t="str">
        <f t="shared" si="13"/>
        <v/>
      </c>
      <c r="U167" s="287" t="str">
        <f t="array" ref="U167">if(C167=0,"",INDEX('Biaya Gratis Ongkir Xtra'!$C$3:$C$4, MATCH(L167, 'Biaya Gratis Ongkir Xtra'!$B$3:$B$4, 0)))</f>
        <v/>
      </c>
      <c r="V167" s="288" t="str">
        <f t="shared" si="6"/>
        <v/>
      </c>
      <c r="W167" s="264"/>
      <c r="X167" s="289" t="str">
        <f t="shared" si="7"/>
        <v/>
      </c>
      <c r="Y167" s="290" t="str">
        <f t="shared" si="8"/>
        <v/>
      </c>
      <c r="Z167" s="291" t="str">
        <f t="shared" si="9"/>
        <v/>
      </c>
      <c r="AA167" s="289" t="str">
        <f t="shared" si="10"/>
        <v/>
      </c>
      <c r="AB167" s="291" t="str">
        <f t="shared" si="11"/>
        <v/>
      </c>
      <c r="AC167" s="292" t="str">
        <f t="shared" si="12"/>
        <v/>
      </c>
      <c r="AD167" s="281"/>
      <c r="AE167" s="22"/>
    </row>
    <row r="168">
      <c r="A168" s="264"/>
      <c r="B168" s="267"/>
      <c r="C168" s="265"/>
      <c r="D168" s="265"/>
      <c r="E168" s="265"/>
      <c r="F168" s="266"/>
      <c r="G168" s="267" t="str">
        <f t="shared" si="1"/>
        <v/>
      </c>
      <c r="H168" s="264"/>
      <c r="I168" s="282"/>
      <c r="J168" s="282"/>
      <c r="K168" s="282"/>
      <c r="L168" s="282"/>
      <c r="M168" s="269"/>
      <c r="N168" s="283" t="str">
        <f t="array" ref="N168">if(C168=0,"",INDEX('Biaya Administrasi'!E:E, MATCH(I168, 'Biaya Administrasi'!B:B, 0)))</f>
        <v/>
      </c>
      <c r="O168" s="284" t="str">
        <f t="shared" si="2"/>
        <v/>
      </c>
      <c r="P168" s="285" t="str">
        <f t="array" ref="P168">if(J168=0,"",INDEX('Biaya Gratis Ongkir Xtra'!D:D, MATCH(J168, 'Biaya Gratis Ongkir Xtra'!C:C, 0)))</f>
        <v/>
      </c>
      <c r="Q168" s="286" t="str">
        <f t="shared" si="3"/>
        <v/>
      </c>
      <c r="R168" s="287" t="str">
        <f t="array" ref="R168">if(K168=0,"",INDEX('Biaya Gratis Ongkir Xtra'!$C$7:$C$10, MATCH(K168, 'Biaya Gratis Ongkir Xtra'!$B$7:$B$10, 0)))</f>
        <v/>
      </c>
      <c r="S168" s="288" t="str">
        <f t="shared" si="4"/>
        <v/>
      </c>
      <c r="T168" s="273" t="str">
        <f t="shared" si="13"/>
        <v/>
      </c>
      <c r="U168" s="287" t="str">
        <f t="array" ref="U168">if(C168=0,"",INDEX('Biaya Gratis Ongkir Xtra'!$C$3:$C$4, MATCH(L168, 'Biaya Gratis Ongkir Xtra'!$B$3:$B$4, 0)))</f>
        <v/>
      </c>
      <c r="V168" s="288" t="str">
        <f t="shared" si="6"/>
        <v/>
      </c>
      <c r="W168" s="264"/>
      <c r="X168" s="289" t="str">
        <f t="shared" si="7"/>
        <v/>
      </c>
      <c r="Y168" s="290" t="str">
        <f t="shared" si="8"/>
        <v/>
      </c>
      <c r="Z168" s="291" t="str">
        <f t="shared" si="9"/>
        <v/>
      </c>
      <c r="AA168" s="289" t="str">
        <f t="shared" si="10"/>
        <v/>
      </c>
      <c r="AB168" s="291" t="str">
        <f t="shared" si="11"/>
        <v/>
      </c>
      <c r="AC168" s="292" t="str">
        <f t="shared" si="12"/>
        <v/>
      </c>
      <c r="AD168" s="281"/>
      <c r="AE168" s="22"/>
    </row>
    <row r="169">
      <c r="A169" s="264"/>
      <c r="B169" s="267"/>
      <c r="C169" s="265"/>
      <c r="D169" s="265"/>
      <c r="E169" s="265"/>
      <c r="F169" s="266"/>
      <c r="G169" s="267" t="str">
        <f t="shared" si="1"/>
        <v/>
      </c>
      <c r="H169" s="264"/>
      <c r="I169" s="282"/>
      <c r="J169" s="282"/>
      <c r="K169" s="282"/>
      <c r="L169" s="282"/>
      <c r="M169" s="269"/>
      <c r="N169" s="283" t="str">
        <f t="array" ref="N169">if(C169=0,"",INDEX('Biaya Administrasi'!E:E, MATCH(I169, 'Biaya Administrasi'!B:B, 0)))</f>
        <v/>
      </c>
      <c r="O169" s="284" t="str">
        <f t="shared" si="2"/>
        <v/>
      </c>
      <c r="P169" s="285" t="str">
        <f t="array" ref="P169">if(J169=0,"",INDEX('Biaya Gratis Ongkir Xtra'!D:D, MATCH(J169, 'Biaya Gratis Ongkir Xtra'!C:C, 0)))</f>
        <v/>
      </c>
      <c r="Q169" s="286" t="str">
        <f t="shared" si="3"/>
        <v/>
      </c>
      <c r="R169" s="287" t="str">
        <f t="array" ref="R169">if(K169=0,"",INDEX('Biaya Gratis Ongkir Xtra'!$C$7:$C$10, MATCH(K169, 'Biaya Gratis Ongkir Xtra'!$B$7:$B$10, 0)))</f>
        <v/>
      </c>
      <c r="S169" s="288" t="str">
        <f t="shared" si="4"/>
        <v/>
      </c>
      <c r="T169" s="273" t="str">
        <f t="shared" si="13"/>
        <v/>
      </c>
      <c r="U169" s="287" t="str">
        <f t="array" ref="U169">if(C169=0,"",INDEX('Biaya Gratis Ongkir Xtra'!$C$3:$C$4, MATCH(L169, 'Biaya Gratis Ongkir Xtra'!$B$3:$B$4, 0)))</f>
        <v/>
      </c>
      <c r="V169" s="288" t="str">
        <f t="shared" si="6"/>
        <v/>
      </c>
      <c r="W169" s="264"/>
      <c r="X169" s="289" t="str">
        <f t="shared" si="7"/>
        <v/>
      </c>
      <c r="Y169" s="290" t="str">
        <f t="shared" si="8"/>
        <v/>
      </c>
      <c r="Z169" s="291" t="str">
        <f t="shared" si="9"/>
        <v/>
      </c>
      <c r="AA169" s="289" t="str">
        <f t="shared" si="10"/>
        <v/>
      </c>
      <c r="AB169" s="291" t="str">
        <f t="shared" si="11"/>
        <v/>
      </c>
      <c r="AC169" s="292" t="str">
        <f t="shared" si="12"/>
        <v/>
      </c>
      <c r="AD169" s="281"/>
      <c r="AE169" s="22"/>
    </row>
    <row r="170">
      <c r="A170" s="264"/>
      <c r="B170" s="267"/>
      <c r="C170" s="265"/>
      <c r="D170" s="265"/>
      <c r="E170" s="265"/>
      <c r="F170" s="266"/>
      <c r="G170" s="267" t="str">
        <f t="shared" si="1"/>
        <v/>
      </c>
      <c r="H170" s="264"/>
      <c r="I170" s="282"/>
      <c r="J170" s="282"/>
      <c r="K170" s="282"/>
      <c r="L170" s="282"/>
      <c r="M170" s="269"/>
      <c r="N170" s="283" t="str">
        <f t="array" ref="N170">if(C170=0,"",INDEX('Biaya Administrasi'!E:E, MATCH(I170, 'Biaya Administrasi'!B:B, 0)))</f>
        <v/>
      </c>
      <c r="O170" s="284" t="str">
        <f t="shared" si="2"/>
        <v/>
      </c>
      <c r="P170" s="285" t="str">
        <f t="array" ref="P170">if(J170=0,"",INDEX('Biaya Gratis Ongkir Xtra'!D:D, MATCH(J170, 'Biaya Gratis Ongkir Xtra'!C:C, 0)))</f>
        <v/>
      </c>
      <c r="Q170" s="286" t="str">
        <f t="shared" si="3"/>
        <v/>
      </c>
      <c r="R170" s="287" t="str">
        <f t="array" ref="R170">if(K170=0,"",INDEX('Biaya Gratis Ongkir Xtra'!$C$7:$C$10, MATCH(K170, 'Biaya Gratis Ongkir Xtra'!$B$7:$B$10, 0)))</f>
        <v/>
      </c>
      <c r="S170" s="288" t="str">
        <f t="shared" si="4"/>
        <v/>
      </c>
      <c r="T170" s="273" t="str">
        <f t="shared" si="13"/>
        <v/>
      </c>
      <c r="U170" s="287" t="str">
        <f t="array" ref="U170">if(C170=0,"",INDEX('Biaya Gratis Ongkir Xtra'!$C$3:$C$4, MATCH(L170, 'Biaya Gratis Ongkir Xtra'!$B$3:$B$4, 0)))</f>
        <v/>
      </c>
      <c r="V170" s="288" t="str">
        <f t="shared" si="6"/>
        <v/>
      </c>
      <c r="W170" s="264"/>
      <c r="X170" s="289" t="str">
        <f t="shared" si="7"/>
        <v/>
      </c>
      <c r="Y170" s="290" t="str">
        <f t="shared" si="8"/>
        <v/>
      </c>
      <c r="Z170" s="291" t="str">
        <f t="shared" si="9"/>
        <v/>
      </c>
      <c r="AA170" s="289" t="str">
        <f t="shared" si="10"/>
        <v/>
      </c>
      <c r="AB170" s="291" t="str">
        <f t="shared" si="11"/>
        <v/>
      </c>
      <c r="AC170" s="292" t="str">
        <f t="shared" si="12"/>
        <v/>
      </c>
      <c r="AD170" s="281"/>
      <c r="AE170" s="22"/>
    </row>
    <row r="171">
      <c r="A171" s="264"/>
      <c r="B171" s="267"/>
      <c r="C171" s="265"/>
      <c r="D171" s="265"/>
      <c r="E171" s="265"/>
      <c r="F171" s="266"/>
      <c r="G171" s="267" t="str">
        <f t="shared" si="1"/>
        <v/>
      </c>
      <c r="H171" s="264"/>
      <c r="I171" s="282"/>
      <c r="J171" s="282"/>
      <c r="K171" s="282"/>
      <c r="L171" s="282"/>
      <c r="M171" s="269"/>
      <c r="N171" s="283" t="str">
        <f t="array" ref="N171">if(C171=0,"",INDEX('Biaya Administrasi'!E:E, MATCH(I171, 'Biaya Administrasi'!B:B, 0)))</f>
        <v/>
      </c>
      <c r="O171" s="284" t="str">
        <f t="shared" si="2"/>
        <v/>
      </c>
      <c r="P171" s="285" t="str">
        <f t="array" ref="P171">if(J171=0,"",INDEX('Biaya Gratis Ongkir Xtra'!D:D, MATCH(J171, 'Biaya Gratis Ongkir Xtra'!C:C, 0)))</f>
        <v/>
      </c>
      <c r="Q171" s="286" t="str">
        <f t="shared" si="3"/>
        <v/>
      </c>
      <c r="R171" s="287" t="str">
        <f t="array" ref="R171">if(K171=0,"",INDEX('Biaya Gratis Ongkir Xtra'!$C$7:$C$10, MATCH(K171, 'Biaya Gratis Ongkir Xtra'!$B$7:$B$10, 0)))</f>
        <v/>
      </c>
      <c r="S171" s="288" t="str">
        <f t="shared" si="4"/>
        <v/>
      </c>
      <c r="T171" s="273" t="str">
        <f t="shared" si="13"/>
        <v/>
      </c>
      <c r="U171" s="287" t="str">
        <f t="array" ref="U171">if(C171=0,"",INDEX('Biaya Gratis Ongkir Xtra'!$C$3:$C$4, MATCH(L171, 'Biaya Gratis Ongkir Xtra'!$B$3:$B$4, 0)))</f>
        <v/>
      </c>
      <c r="V171" s="288" t="str">
        <f t="shared" si="6"/>
        <v/>
      </c>
      <c r="W171" s="264"/>
      <c r="X171" s="289" t="str">
        <f t="shared" si="7"/>
        <v/>
      </c>
      <c r="Y171" s="290" t="str">
        <f t="shared" si="8"/>
        <v/>
      </c>
      <c r="Z171" s="291" t="str">
        <f t="shared" si="9"/>
        <v/>
      </c>
      <c r="AA171" s="289" t="str">
        <f t="shared" si="10"/>
        <v/>
      </c>
      <c r="AB171" s="291" t="str">
        <f t="shared" si="11"/>
        <v/>
      </c>
      <c r="AC171" s="292" t="str">
        <f t="shared" si="12"/>
        <v/>
      </c>
      <c r="AD171" s="281"/>
      <c r="AE171" s="22"/>
    </row>
    <row r="172">
      <c r="A172" s="264"/>
      <c r="B172" s="267"/>
      <c r="C172" s="265"/>
      <c r="D172" s="265"/>
      <c r="E172" s="265"/>
      <c r="F172" s="266"/>
      <c r="G172" s="267" t="str">
        <f t="shared" si="1"/>
        <v/>
      </c>
      <c r="H172" s="264"/>
      <c r="I172" s="282"/>
      <c r="J172" s="282"/>
      <c r="K172" s="282"/>
      <c r="L172" s="282"/>
      <c r="M172" s="269"/>
      <c r="N172" s="283" t="str">
        <f t="array" ref="N172">if(C172=0,"",INDEX('Biaya Administrasi'!E:E, MATCH(I172, 'Biaya Administrasi'!B:B, 0)))</f>
        <v/>
      </c>
      <c r="O172" s="284" t="str">
        <f t="shared" si="2"/>
        <v/>
      </c>
      <c r="P172" s="285" t="str">
        <f t="array" ref="P172">if(J172=0,"",INDEX('Biaya Gratis Ongkir Xtra'!D:D, MATCH(J172, 'Biaya Gratis Ongkir Xtra'!C:C, 0)))</f>
        <v/>
      </c>
      <c r="Q172" s="286" t="str">
        <f t="shared" si="3"/>
        <v/>
      </c>
      <c r="R172" s="287" t="str">
        <f t="array" ref="R172">if(K172=0,"",INDEX('Biaya Gratis Ongkir Xtra'!$C$7:$C$10, MATCH(K172, 'Biaya Gratis Ongkir Xtra'!$B$7:$B$10, 0)))</f>
        <v/>
      </c>
      <c r="S172" s="288" t="str">
        <f t="shared" si="4"/>
        <v/>
      </c>
      <c r="T172" s="273" t="str">
        <f t="shared" si="13"/>
        <v/>
      </c>
      <c r="U172" s="287" t="str">
        <f t="array" ref="U172">if(C172=0,"",INDEX('Biaya Gratis Ongkir Xtra'!$C$3:$C$4, MATCH(L172, 'Biaya Gratis Ongkir Xtra'!$B$3:$B$4, 0)))</f>
        <v/>
      </c>
      <c r="V172" s="288" t="str">
        <f t="shared" si="6"/>
        <v/>
      </c>
      <c r="W172" s="264"/>
      <c r="X172" s="289" t="str">
        <f t="shared" si="7"/>
        <v/>
      </c>
      <c r="Y172" s="290" t="str">
        <f t="shared" si="8"/>
        <v/>
      </c>
      <c r="Z172" s="291" t="str">
        <f t="shared" si="9"/>
        <v/>
      </c>
      <c r="AA172" s="289" t="str">
        <f t="shared" si="10"/>
        <v/>
      </c>
      <c r="AB172" s="291" t="str">
        <f t="shared" si="11"/>
        <v/>
      </c>
      <c r="AC172" s="292" t="str">
        <f t="shared" si="12"/>
        <v/>
      </c>
      <c r="AD172" s="281"/>
      <c r="AE172" s="22"/>
    </row>
    <row r="173">
      <c r="A173" s="264"/>
      <c r="B173" s="267"/>
      <c r="C173" s="265"/>
      <c r="D173" s="265"/>
      <c r="E173" s="265"/>
      <c r="F173" s="266"/>
      <c r="G173" s="267" t="str">
        <f t="shared" si="1"/>
        <v/>
      </c>
      <c r="H173" s="264"/>
      <c r="I173" s="282"/>
      <c r="J173" s="282"/>
      <c r="K173" s="282"/>
      <c r="L173" s="282"/>
      <c r="M173" s="269"/>
      <c r="N173" s="283" t="str">
        <f t="array" ref="N173">if(C173=0,"",INDEX('Biaya Administrasi'!E:E, MATCH(I173, 'Biaya Administrasi'!B:B, 0)))</f>
        <v/>
      </c>
      <c r="O173" s="284" t="str">
        <f t="shared" si="2"/>
        <v/>
      </c>
      <c r="P173" s="285" t="str">
        <f t="array" ref="P173">if(J173=0,"",INDEX('Biaya Gratis Ongkir Xtra'!D:D, MATCH(J173, 'Biaya Gratis Ongkir Xtra'!C:C, 0)))</f>
        <v/>
      </c>
      <c r="Q173" s="286" t="str">
        <f t="shared" si="3"/>
        <v/>
      </c>
      <c r="R173" s="287" t="str">
        <f t="array" ref="R173">if(K173=0,"",INDEX('Biaya Gratis Ongkir Xtra'!$C$7:$C$10, MATCH(K173, 'Biaya Gratis Ongkir Xtra'!$B$7:$B$10, 0)))</f>
        <v/>
      </c>
      <c r="S173" s="288" t="str">
        <f t="shared" si="4"/>
        <v/>
      </c>
      <c r="T173" s="273" t="str">
        <f t="shared" si="13"/>
        <v/>
      </c>
      <c r="U173" s="287" t="str">
        <f t="array" ref="U173">if(C173=0,"",INDEX('Biaya Gratis Ongkir Xtra'!$C$3:$C$4, MATCH(L173, 'Biaya Gratis Ongkir Xtra'!$B$3:$B$4, 0)))</f>
        <v/>
      </c>
      <c r="V173" s="288" t="str">
        <f t="shared" si="6"/>
        <v/>
      </c>
      <c r="W173" s="264"/>
      <c r="X173" s="289" t="str">
        <f t="shared" si="7"/>
        <v/>
      </c>
      <c r="Y173" s="290" t="str">
        <f t="shared" si="8"/>
        <v/>
      </c>
      <c r="Z173" s="291" t="str">
        <f t="shared" si="9"/>
        <v/>
      </c>
      <c r="AA173" s="289" t="str">
        <f t="shared" si="10"/>
        <v/>
      </c>
      <c r="AB173" s="291" t="str">
        <f t="shared" si="11"/>
        <v/>
      </c>
      <c r="AC173" s="292" t="str">
        <f t="shared" si="12"/>
        <v/>
      </c>
      <c r="AD173" s="281"/>
      <c r="AE173" s="22"/>
    </row>
    <row r="174">
      <c r="A174" s="264"/>
      <c r="B174" s="267"/>
      <c r="C174" s="265"/>
      <c r="D174" s="265"/>
      <c r="E174" s="265"/>
      <c r="F174" s="266"/>
      <c r="G174" s="267" t="str">
        <f t="shared" si="1"/>
        <v/>
      </c>
      <c r="H174" s="264"/>
      <c r="I174" s="282"/>
      <c r="J174" s="282"/>
      <c r="K174" s="282"/>
      <c r="L174" s="282"/>
      <c r="M174" s="269"/>
      <c r="N174" s="283" t="str">
        <f t="array" ref="N174">if(C174=0,"",INDEX('Biaya Administrasi'!E:E, MATCH(I174, 'Biaya Administrasi'!B:B, 0)))</f>
        <v/>
      </c>
      <c r="O174" s="284" t="str">
        <f t="shared" si="2"/>
        <v/>
      </c>
      <c r="P174" s="285" t="str">
        <f t="array" ref="P174">if(J174=0,"",INDEX('Biaya Gratis Ongkir Xtra'!D:D, MATCH(J174, 'Biaya Gratis Ongkir Xtra'!C:C, 0)))</f>
        <v/>
      </c>
      <c r="Q174" s="286" t="str">
        <f t="shared" si="3"/>
        <v/>
      </c>
      <c r="R174" s="287" t="str">
        <f t="array" ref="R174">if(K174=0,"",INDEX('Biaya Gratis Ongkir Xtra'!$C$7:$C$10, MATCH(K174, 'Biaya Gratis Ongkir Xtra'!$B$7:$B$10, 0)))</f>
        <v/>
      </c>
      <c r="S174" s="288" t="str">
        <f t="shared" si="4"/>
        <v/>
      </c>
      <c r="T174" s="273" t="str">
        <f t="shared" si="13"/>
        <v/>
      </c>
      <c r="U174" s="287" t="str">
        <f t="array" ref="U174">if(C174=0,"",INDEX('Biaya Gratis Ongkir Xtra'!$C$3:$C$4, MATCH(L174, 'Biaya Gratis Ongkir Xtra'!$B$3:$B$4, 0)))</f>
        <v/>
      </c>
      <c r="V174" s="288" t="str">
        <f t="shared" si="6"/>
        <v/>
      </c>
      <c r="W174" s="264"/>
      <c r="X174" s="289" t="str">
        <f t="shared" si="7"/>
        <v/>
      </c>
      <c r="Y174" s="290" t="str">
        <f t="shared" si="8"/>
        <v/>
      </c>
      <c r="Z174" s="291" t="str">
        <f t="shared" si="9"/>
        <v/>
      </c>
      <c r="AA174" s="289" t="str">
        <f t="shared" si="10"/>
        <v/>
      </c>
      <c r="AB174" s="291" t="str">
        <f t="shared" si="11"/>
        <v/>
      </c>
      <c r="AC174" s="292" t="str">
        <f t="shared" si="12"/>
        <v/>
      </c>
      <c r="AD174" s="281"/>
      <c r="AE174" s="22"/>
    </row>
    <row r="175">
      <c r="A175" s="264"/>
      <c r="B175" s="267"/>
      <c r="C175" s="265"/>
      <c r="D175" s="265"/>
      <c r="E175" s="265"/>
      <c r="F175" s="266"/>
      <c r="G175" s="267" t="str">
        <f t="shared" si="1"/>
        <v/>
      </c>
      <c r="H175" s="264"/>
      <c r="I175" s="282"/>
      <c r="J175" s="282"/>
      <c r="K175" s="282"/>
      <c r="L175" s="282"/>
      <c r="M175" s="269"/>
      <c r="N175" s="283" t="str">
        <f t="array" ref="N175">if(C175=0,"",INDEX('Biaya Administrasi'!E:E, MATCH(I175, 'Biaya Administrasi'!B:B, 0)))</f>
        <v/>
      </c>
      <c r="O175" s="284" t="str">
        <f t="shared" si="2"/>
        <v/>
      </c>
      <c r="P175" s="285" t="str">
        <f t="array" ref="P175">if(J175=0,"",INDEX('Biaya Gratis Ongkir Xtra'!D:D, MATCH(J175, 'Biaya Gratis Ongkir Xtra'!C:C, 0)))</f>
        <v/>
      </c>
      <c r="Q175" s="286" t="str">
        <f t="shared" si="3"/>
        <v/>
      </c>
      <c r="R175" s="287" t="str">
        <f t="array" ref="R175">if(K175=0,"",INDEX('Biaya Gratis Ongkir Xtra'!$C$7:$C$10, MATCH(K175, 'Biaya Gratis Ongkir Xtra'!$B$7:$B$10, 0)))</f>
        <v/>
      </c>
      <c r="S175" s="288" t="str">
        <f t="shared" si="4"/>
        <v/>
      </c>
      <c r="T175" s="273" t="str">
        <f t="shared" si="13"/>
        <v/>
      </c>
      <c r="U175" s="287" t="str">
        <f t="array" ref="U175">if(C175=0,"",INDEX('Biaya Gratis Ongkir Xtra'!$C$3:$C$4, MATCH(L175, 'Biaya Gratis Ongkir Xtra'!$B$3:$B$4, 0)))</f>
        <v/>
      </c>
      <c r="V175" s="288" t="str">
        <f t="shared" si="6"/>
        <v/>
      </c>
      <c r="W175" s="264"/>
      <c r="X175" s="289" t="str">
        <f t="shared" si="7"/>
        <v/>
      </c>
      <c r="Y175" s="290" t="str">
        <f t="shared" si="8"/>
        <v/>
      </c>
      <c r="Z175" s="291" t="str">
        <f t="shared" si="9"/>
        <v/>
      </c>
      <c r="AA175" s="289" t="str">
        <f t="shared" si="10"/>
        <v/>
      </c>
      <c r="AB175" s="291" t="str">
        <f t="shared" si="11"/>
        <v/>
      </c>
      <c r="AC175" s="292" t="str">
        <f t="shared" si="12"/>
        <v/>
      </c>
      <c r="AD175" s="281"/>
      <c r="AE175" s="22"/>
    </row>
    <row r="176">
      <c r="A176" s="264"/>
      <c r="B176" s="267"/>
      <c r="C176" s="265"/>
      <c r="D176" s="265"/>
      <c r="E176" s="265"/>
      <c r="F176" s="266"/>
      <c r="G176" s="267" t="str">
        <f t="shared" si="1"/>
        <v/>
      </c>
      <c r="H176" s="264"/>
      <c r="I176" s="282"/>
      <c r="J176" s="282"/>
      <c r="K176" s="282"/>
      <c r="L176" s="282"/>
      <c r="M176" s="269"/>
      <c r="N176" s="283" t="str">
        <f t="array" ref="N176">if(C176=0,"",INDEX('Biaya Administrasi'!E:E, MATCH(I176, 'Biaya Administrasi'!B:B, 0)))</f>
        <v/>
      </c>
      <c r="O176" s="284" t="str">
        <f t="shared" si="2"/>
        <v/>
      </c>
      <c r="P176" s="285" t="str">
        <f t="array" ref="P176">if(J176=0,"",INDEX('Biaya Gratis Ongkir Xtra'!D:D, MATCH(J176, 'Biaya Gratis Ongkir Xtra'!C:C, 0)))</f>
        <v/>
      </c>
      <c r="Q176" s="286" t="str">
        <f t="shared" si="3"/>
        <v/>
      </c>
      <c r="R176" s="287" t="str">
        <f t="array" ref="R176">if(K176=0,"",INDEX('Biaya Gratis Ongkir Xtra'!$C$7:$C$10, MATCH(K176, 'Biaya Gratis Ongkir Xtra'!$B$7:$B$10, 0)))</f>
        <v/>
      </c>
      <c r="S176" s="288" t="str">
        <f t="shared" si="4"/>
        <v/>
      </c>
      <c r="T176" s="273" t="str">
        <f t="shared" si="13"/>
        <v/>
      </c>
      <c r="U176" s="287" t="str">
        <f t="array" ref="U176">if(C176=0,"",INDEX('Biaya Gratis Ongkir Xtra'!$C$3:$C$4, MATCH(L176, 'Biaya Gratis Ongkir Xtra'!$B$3:$B$4, 0)))</f>
        <v/>
      </c>
      <c r="V176" s="288" t="str">
        <f t="shared" si="6"/>
        <v/>
      </c>
      <c r="W176" s="264"/>
      <c r="X176" s="289" t="str">
        <f t="shared" si="7"/>
        <v/>
      </c>
      <c r="Y176" s="290" t="str">
        <f t="shared" si="8"/>
        <v/>
      </c>
      <c r="Z176" s="291" t="str">
        <f t="shared" si="9"/>
        <v/>
      </c>
      <c r="AA176" s="289" t="str">
        <f t="shared" si="10"/>
        <v/>
      </c>
      <c r="AB176" s="291" t="str">
        <f t="shared" si="11"/>
        <v/>
      </c>
      <c r="AC176" s="292" t="str">
        <f t="shared" si="12"/>
        <v/>
      </c>
      <c r="AD176" s="281"/>
      <c r="AE176" s="22"/>
    </row>
    <row r="177">
      <c r="A177" s="264"/>
      <c r="B177" s="267"/>
      <c r="C177" s="265"/>
      <c r="D177" s="265"/>
      <c r="E177" s="265"/>
      <c r="F177" s="266"/>
      <c r="G177" s="267" t="str">
        <f t="shared" si="1"/>
        <v/>
      </c>
      <c r="H177" s="264"/>
      <c r="I177" s="282"/>
      <c r="J177" s="282"/>
      <c r="K177" s="282"/>
      <c r="L177" s="282"/>
      <c r="M177" s="269"/>
      <c r="N177" s="283" t="str">
        <f t="array" ref="N177">if(C177=0,"",INDEX('Biaya Administrasi'!E:E, MATCH(I177, 'Biaya Administrasi'!B:B, 0)))</f>
        <v/>
      </c>
      <c r="O177" s="284" t="str">
        <f t="shared" si="2"/>
        <v/>
      </c>
      <c r="P177" s="285" t="str">
        <f t="array" ref="P177">if(J177=0,"",INDEX('Biaya Gratis Ongkir Xtra'!D:D, MATCH(J177, 'Biaya Gratis Ongkir Xtra'!C:C, 0)))</f>
        <v/>
      </c>
      <c r="Q177" s="286" t="str">
        <f t="shared" si="3"/>
        <v/>
      </c>
      <c r="R177" s="287" t="str">
        <f t="array" ref="R177">if(K177=0,"",INDEX('Biaya Gratis Ongkir Xtra'!$C$7:$C$10, MATCH(K177, 'Biaya Gratis Ongkir Xtra'!$B$7:$B$10, 0)))</f>
        <v/>
      </c>
      <c r="S177" s="288" t="str">
        <f t="shared" si="4"/>
        <v/>
      </c>
      <c r="T177" s="273" t="str">
        <f t="shared" si="13"/>
        <v/>
      </c>
      <c r="U177" s="287" t="str">
        <f t="array" ref="U177">if(C177=0,"",INDEX('Biaya Gratis Ongkir Xtra'!$C$3:$C$4, MATCH(L177, 'Biaya Gratis Ongkir Xtra'!$B$3:$B$4, 0)))</f>
        <v/>
      </c>
      <c r="V177" s="288" t="str">
        <f t="shared" si="6"/>
        <v/>
      </c>
      <c r="W177" s="264"/>
      <c r="X177" s="289" t="str">
        <f t="shared" si="7"/>
        <v/>
      </c>
      <c r="Y177" s="290" t="str">
        <f t="shared" si="8"/>
        <v/>
      </c>
      <c r="Z177" s="291" t="str">
        <f t="shared" si="9"/>
        <v/>
      </c>
      <c r="AA177" s="289" t="str">
        <f t="shared" si="10"/>
        <v/>
      </c>
      <c r="AB177" s="291" t="str">
        <f t="shared" si="11"/>
        <v/>
      </c>
      <c r="AC177" s="292" t="str">
        <f t="shared" si="12"/>
        <v/>
      </c>
      <c r="AD177" s="281"/>
      <c r="AE177" s="22"/>
    </row>
    <row r="178">
      <c r="A178" s="264"/>
      <c r="B178" s="267"/>
      <c r="C178" s="265"/>
      <c r="D178" s="265"/>
      <c r="E178" s="265"/>
      <c r="F178" s="266"/>
      <c r="G178" s="267" t="str">
        <f t="shared" si="1"/>
        <v/>
      </c>
      <c r="H178" s="264"/>
      <c r="I178" s="282"/>
      <c r="J178" s="282"/>
      <c r="K178" s="282"/>
      <c r="L178" s="282"/>
      <c r="M178" s="269"/>
      <c r="N178" s="283" t="str">
        <f t="array" ref="N178">if(C178=0,"",INDEX('Biaya Administrasi'!E:E, MATCH(I178, 'Biaya Administrasi'!B:B, 0)))</f>
        <v/>
      </c>
      <c r="O178" s="284" t="str">
        <f t="shared" si="2"/>
        <v/>
      </c>
      <c r="P178" s="285" t="str">
        <f t="array" ref="P178">if(J178=0,"",INDEX('Biaya Gratis Ongkir Xtra'!D:D, MATCH(J178, 'Biaya Gratis Ongkir Xtra'!C:C, 0)))</f>
        <v/>
      </c>
      <c r="Q178" s="286" t="str">
        <f t="shared" si="3"/>
        <v/>
      </c>
      <c r="R178" s="287" t="str">
        <f t="array" ref="R178">if(K178=0,"",INDEX('Biaya Gratis Ongkir Xtra'!$C$7:$C$10, MATCH(K178, 'Biaya Gratis Ongkir Xtra'!$B$7:$B$10, 0)))</f>
        <v/>
      </c>
      <c r="S178" s="288" t="str">
        <f t="shared" si="4"/>
        <v/>
      </c>
      <c r="T178" s="273" t="str">
        <f t="shared" si="13"/>
        <v/>
      </c>
      <c r="U178" s="287" t="str">
        <f t="array" ref="U178">if(C178=0,"",INDEX('Biaya Gratis Ongkir Xtra'!$C$3:$C$4, MATCH(L178, 'Biaya Gratis Ongkir Xtra'!$B$3:$B$4, 0)))</f>
        <v/>
      </c>
      <c r="V178" s="288" t="str">
        <f t="shared" si="6"/>
        <v/>
      </c>
      <c r="W178" s="264"/>
      <c r="X178" s="289" t="str">
        <f t="shared" si="7"/>
        <v/>
      </c>
      <c r="Y178" s="290" t="str">
        <f t="shared" si="8"/>
        <v/>
      </c>
      <c r="Z178" s="291" t="str">
        <f t="shared" si="9"/>
        <v/>
      </c>
      <c r="AA178" s="289" t="str">
        <f t="shared" si="10"/>
        <v/>
      </c>
      <c r="AB178" s="291" t="str">
        <f t="shared" si="11"/>
        <v/>
      </c>
      <c r="AC178" s="292" t="str">
        <f t="shared" si="12"/>
        <v/>
      </c>
      <c r="AD178" s="281"/>
      <c r="AE178" s="22"/>
    </row>
    <row r="179">
      <c r="A179" s="264"/>
      <c r="B179" s="267"/>
      <c r="C179" s="265"/>
      <c r="D179" s="265"/>
      <c r="E179" s="265"/>
      <c r="F179" s="266"/>
      <c r="G179" s="267" t="str">
        <f t="shared" si="1"/>
        <v/>
      </c>
      <c r="H179" s="264"/>
      <c r="I179" s="282"/>
      <c r="J179" s="282"/>
      <c r="K179" s="282"/>
      <c r="L179" s="282"/>
      <c r="M179" s="269"/>
      <c r="N179" s="283" t="str">
        <f t="array" ref="N179">if(C179=0,"",INDEX('Biaya Administrasi'!E:E, MATCH(I179, 'Biaya Administrasi'!B:B, 0)))</f>
        <v/>
      </c>
      <c r="O179" s="284" t="str">
        <f t="shared" si="2"/>
        <v/>
      </c>
      <c r="P179" s="285" t="str">
        <f t="array" ref="P179">if(J179=0,"",INDEX('Biaya Gratis Ongkir Xtra'!D:D, MATCH(J179, 'Biaya Gratis Ongkir Xtra'!C:C, 0)))</f>
        <v/>
      </c>
      <c r="Q179" s="286" t="str">
        <f t="shared" si="3"/>
        <v/>
      </c>
      <c r="R179" s="287" t="str">
        <f t="array" ref="R179">if(K179=0,"",INDEX('Biaya Gratis Ongkir Xtra'!$C$7:$C$10, MATCH(K179, 'Biaya Gratis Ongkir Xtra'!$B$7:$B$10, 0)))</f>
        <v/>
      </c>
      <c r="S179" s="288" t="str">
        <f t="shared" si="4"/>
        <v/>
      </c>
      <c r="T179" s="273" t="str">
        <f t="shared" si="13"/>
        <v/>
      </c>
      <c r="U179" s="287" t="str">
        <f t="array" ref="U179">if(C179=0,"",INDEX('Biaya Gratis Ongkir Xtra'!$C$3:$C$4, MATCH(L179, 'Biaya Gratis Ongkir Xtra'!$B$3:$B$4, 0)))</f>
        <v/>
      </c>
      <c r="V179" s="288" t="str">
        <f t="shared" si="6"/>
        <v/>
      </c>
      <c r="W179" s="264"/>
      <c r="X179" s="289" t="str">
        <f t="shared" si="7"/>
        <v/>
      </c>
      <c r="Y179" s="290" t="str">
        <f t="shared" si="8"/>
        <v/>
      </c>
      <c r="Z179" s="291" t="str">
        <f t="shared" si="9"/>
        <v/>
      </c>
      <c r="AA179" s="289" t="str">
        <f t="shared" si="10"/>
        <v/>
      </c>
      <c r="AB179" s="291" t="str">
        <f t="shared" si="11"/>
        <v/>
      </c>
      <c r="AC179" s="292" t="str">
        <f t="shared" si="12"/>
        <v/>
      </c>
      <c r="AD179" s="281"/>
      <c r="AE179" s="22"/>
    </row>
    <row r="180">
      <c r="A180" s="264"/>
      <c r="B180" s="267"/>
      <c r="C180" s="265"/>
      <c r="D180" s="265"/>
      <c r="E180" s="265"/>
      <c r="F180" s="266"/>
      <c r="G180" s="267" t="str">
        <f t="shared" si="1"/>
        <v/>
      </c>
      <c r="H180" s="264"/>
      <c r="I180" s="282"/>
      <c r="J180" s="282"/>
      <c r="K180" s="282"/>
      <c r="L180" s="282"/>
      <c r="M180" s="269"/>
      <c r="N180" s="283" t="str">
        <f t="array" ref="N180">if(C180=0,"",INDEX('Biaya Administrasi'!E:E, MATCH(I180, 'Biaya Administrasi'!B:B, 0)))</f>
        <v/>
      </c>
      <c r="O180" s="284" t="str">
        <f t="shared" si="2"/>
        <v/>
      </c>
      <c r="P180" s="285" t="str">
        <f t="array" ref="P180">if(J180=0,"",INDEX('Biaya Gratis Ongkir Xtra'!D:D, MATCH(J180, 'Biaya Gratis Ongkir Xtra'!C:C, 0)))</f>
        <v/>
      </c>
      <c r="Q180" s="286" t="str">
        <f t="shared" si="3"/>
        <v/>
      </c>
      <c r="R180" s="287" t="str">
        <f t="array" ref="R180">if(K180=0,"",INDEX('Biaya Gratis Ongkir Xtra'!$C$7:$C$10, MATCH(K180, 'Biaya Gratis Ongkir Xtra'!$B$7:$B$10, 0)))</f>
        <v/>
      </c>
      <c r="S180" s="288" t="str">
        <f t="shared" si="4"/>
        <v/>
      </c>
      <c r="T180" s="273" t="str">
        <f t="shared" si="13"/>
        <v/>
      </c>
      <c r="U180" s="287" t="str">
        <f t="array" ref="U180">if(C180=0,"",INDEX('Biaya Gratis Ongkir Xtra'!$C$3:$C$4, MATCH(L180, 'Biaya Gratis Ongkir Xtra'!$B$3:$B$4, 0)))</f>
        <v/>
      </c>
      <c r="V180" s="288" t="str">
        <f t="shared" si="6"/>
        <v/>
      </c>
      <c r="W180" s="264"/>
      <c r="X180" s="289" t="str">
        <f t="shared" si="7"/>
        <v/>
      </c>
      <c r="Y180" s="290" t="str">
        <f t="shared" si="8"/>
        <v/>
      </c>
      <c r="Z180" s="291" t="str">
        <f t="shared" si="9"/>
        <v/>
      </c>
      <c r="AA180" s="289" t="str">
        <f t="shared" si="10"/>
        <v/>
      </c>
      <c r="AB180" s="291" t="str">
        <f t="shared" si="11"/>
        <v/>
      </c>
      <c r="AC180" s="292" t="str">
        <f t="shared" si="12"/>
        <v/>
      </c>
      <c r="AD180" s="281"/>
      <c r="AE180" s="22"/>
    </row>
    <row r="181">
      <c r="A181" s="264"/>
      <c r="B181" s="267"/>
      <c r="C181" s="265"/>
      <c r="D181" s="265"/>
      <c r="E181" s="265"/>
      <c r="F181" s="266"/>
      <c r="G181" s="267" t="str">
        <f t="shared" si="1"/>
        <v/>
      </c>
      <c r="H181" s="264"/>
      <c r="I181" s="282"/>
      <c r="J181" s="282"/>
      <c r="K181" s="282"/>
      <c r="L181" s="282"/>
      <c r="M181" s="269"/>
      <c r="N181" s="283" t="str">
        <f t="array" ref="N181">if(C181=0,"",INDEX('Biaya Administrasi'!E:E, MATCH(I181, 'Biaya Administrasi'!B:B, 0)))</f>
        <v/>
      </c>
      <c r="O181" s="284" t="str">
        <f t="shared" si="2"/>
        <v/>
      </c>
      <c r="P181" s="285" t="str">
        <f t="array" ref="P181">if(J181=0,"",INDEX('Biaya Gratis Ongkir Xtra'!D:D, MATCH(J181, 'Biaya Gratis Ongkir Xtra'!C:C, 0)))</f>
        <v/>
      </c>
      <c r="Q181" s="286" t="str">
        <f t="shared" si="3"/>
        <v/>
      </c>
      <c r="R181" s="287" t="str">
        <f t="array" ref="R181">if(K181=0,"",INDEX('Biaya Gratis Ongkir Xtra'!$C$7:$C$10, MATCH(K181, 'Biaya Gratis Ongkir Xtra'!$B$7:$B$10, 0)))</f>
        <v/>
      </c>
      <c r="S181" s="288" t="str">
        <f t="shared" si="4"/>
        <v/>
      </c>
      <c r="T181" s="273" t="str">
        <f t="shared" si="13"/>
        <v/>
      </c>
      <c r="U181" s="287" t="str">
        <f t="array" ref="U181">if(C181=0,"",INDEX('Biaya Gratis Ongkir Xtra'!$C$3:$C$4, MATCH(L181, 'Biaya Gratis Ongkir Xtra'!$B$3:$B$4, 0)))</f>
        <v/>
      </c>
      <c r="V181" s="288" t="str">
        <f t="shared" si="6"/>
        <v/>
      </c>
      <c r="W181" s="264"/>
      <c r="X181" s="289" t="str">
        <f t="shared" si="7"/>
        <v/>
      </c>
      <c r="Y181" s="290" t="str">
        <f t="shared" si="8"/>
        <v/>
      </c>
      <c r="Z181" s="291" t="str">
        <f t="shared" si="9"/>
        <v/>
      </c>
      <c r="AA181" s="289" t="str">
        <f t="shared" si="10"/>
        <v/>
      </c>
      <c r="AB181" s="291" t="str">
        <f t="shared" si="11"/>
        <v/>
      </c>
      <c r="AC181" s="292" t="str">
        <f t="shared" si="12"/>
        <v/>
      </c>
      <c r="AD181" s="281"/>
      <c r="AE181" s="22"/>
    </row>
    <row r="182">
      <c r="A182" s="264"/>
      <c r="B182" s="267"/>
      <c r="C182" s="265"/>
      <c r="D182" s="265"/>
      <c r="E182" s="265"/>
      <c r="F182" s="266"/>
      <c r="G182" s="267" t="str">
        <f t="shared" si="1"/>
        <v/>
      </c>
      <c r="H182" s="264"/>
      <c r="I182" s="282"/>
      <c r="J182" s="282"/>
      <c r="K182" s="282"/>
      <c r="L182" s="282"/>
      <c r="M182" s="269"/>
      <c r="N182" s="283" t="str">
        <f t="array" ref="N182">if(C182=0,"",INDEX('Biaya Administrasi'!E:E, MATCH(I182, 'Biaya Administrasi'!B:B, 0)))</f>
        <v/>
      </c>
      <c r="O182" s="284" t="str">
        <f t="shared" si="2"/>
        <v/>
      </c>
      <c r="P182" s="285" t="str">
        <f t="array" ref="P182">if(J182=0,"",INDEX('Biaya Gratis Ongkir Xtra'!D:D, MATCH(J182, 'Biaya Gratis Ongkir Xtra'!C:C, 0)))</f>
        <v/>
      </c>
      <c r="Q182" s="286" t="str">
        <f t="shared" si="3"/>
        <v/>
      </c>
      <c r="R182" s="287" t="str">
        <f t="array" ref="R182">if(K182=0,"",INDEX('Biaya Gratis Ongkir Xtra'!$C$7:$C$10, MATCH(K182, 'Biaya Gratis Ongkir Xtra'!$B$7:$B$10, 0)))</f>
        <v/>
      </c>
      <c r="S182" s="288" t="str">
        <f t="shared" si="4"/>
        <v/>
      </c>
      <c r="T182" s="273" t="str">
        <f t="shared" si="13"/>
        <v/>
      </c>
      <c r="U182" s="287" t="str">
        <f t="array" ref="U182">if(C182=0,"",INDEX('Biaya Gratis Ongkir Xtra'!$C$3:$C$4, MATCH(L182, 'Biaya Gratis Ongkir Xtra'!$B$3:$B$4, 0)))</f>
        <v/>
      </c>
      <c r="V182" s="288" t="str">
        <f t="shared" si="6"/>
        <v/>
      </c>
      <c r="W182" s="264"/>
      <c r="X182" s="289" t="str">
        <f t="shared" si="7"/>
        <v/>
      </c>
      <c r="Y182" s="290" t="str">
        <f t="shared" si="8"/>
        <v/>
      </c>
      <c r="Z182" s="291" t="str">
        <f t="shared" si="9"/>
        <v/>
      </c>
      <c r="AA182" s="289" t="str">
        <f t="shared" si="10"/>
        <v/>
      </c>
      <c r="AB182" s="291" t="str">
        <f t="shared" si="11"/>
        <v/>
      </c>
      <c r="AC182" s="292" t="str">
        <f t="shared" si="12"/>
        <v/>
      </c>
      <c r="AD182" s="281"/>
      <c r="AE182" s="22"/>
    </row>
    <row r="183">
      <c r="A183" s="264"/>
      <c r="B183" s="267"/>
      <c r="C183" s="265"/>
      <c r="D183" s="265"/>
      <c r="E183" s="265"/>
      <c r="F183" s="266"/>
      <c r="G183" s="267" t="str">
        <f t="shared" si="1"/>
        <v/>
      </c>
      <c r="H183" s="264"/>
      <c r="I183" s="282"/>
      <c r="J183" s="282"/>
      <c r="K183" s="282"/>
      <c r="L183" s="282"/>
      <c r="M183" s="269"/>
      <c r="N183" s="283" t="str">
        <f t="array" ref="N183">if(C183=0,"",INDEX('Biaya Administrasi'!E:E, MATCH(I183, 'Biaya Administrasi'!B:B, 0)))</f>
        <v/>
      </c>
      <c r="O183" s="284" t="str">
        <f t="shared" si="2"/>
        <v/>
      </c>
      <c r="P183" s="285" t="str">
        <f t="array" ref="P183">if(J183=0,"",INDEX('Biaya Gratis Ongkir Xtra'!D:D, MATCH(J183, 'Biaya Gratis Ongkir Xtra'!C:C, 0)))</f>
        <v/>
      </c>
      <c r="Q183" s="286" t="str">
        <f t="shared" si="3"/>
        <v/>
      </c>
      <c r="R183" s="287" t="str">
        <f t="array" ref="R183">if(K183=0,"",INDEX('Biaya Gratis Ongkir Xtra'!$C$7:$C$10, MATCH(K183, 'Biaya Gratis Ongkir Xtra'!$B$7:$B$10, 0)))</f>
        <v/>
      </c>
      <c r="S183" s="288" t="str">
        <f t="shared" si="4"/>
        <v/>
      </c>
      <c r="T183" s="273" t="str">
        <f t="shared" si="13"/>
        <v/>
      </c>
      <c r="U183" s="287" t="str">
        <f t="array" ref="U183">if(C183=0,"",INDEX('Biaya Gratis Ongkir Xtra'!$C$3:$C$4, MATCH(L183, 'Biaya Gratis Ongkir Xtra'!$B$3:$B$4, 0)))</f>
        <v/>
      </c>
      <c r="V183" s="288" t="str">
        <f t="shared" si="6"/>
        <v/>
      </c>
      <c r="W183" s="264"/>
      <c r="X183" s="289" t="str">
        <f t="shared" si="7"/>
        <v/>
      </c>
      <c r="Y183" s="290" t="str">
        <f t="shared" si="8"/>
        <v/>
      </c>
      <c r="Z183" s="291" t="str">
        <f t="shared" si="9"/>
        <v/>
      </c>
      <c r="AA183" s="289" t="str">
        <f t="shared" si="10"/>
        <v/>
      </c>
      <c r="AB183" s="291" t="str">
        <f t="shared" si="11"/>
        <v/>
      </c>
      <c r="AC183" s="292" t="str">
        <f t="shared" si="12"/>
        <v/>
      </c>
      <c r="AD183" s="281"/>
      <c r="AE183" s="22"/>
    </row>
    <row r="184">
      <c r="A184" s="264"/>
      <c r="B184" s="267"/>
      <c r="C184" s="265"/>
      <c r="D184" s="265"/>
      <c r="E184" s="265"/>
      <c r="F184" s="266"/>
      <c r="G184" s="267" t="str">
        <f t="shared" si="1"/>
        <v/>
      </c>
      <c r="H184" s="264"/>
      <c r="I184" s="282"/>
      <c r="J184" s="282"/>
      <c r="K184" s="282"/>
      <c r="L184" s="282"/>
      <c r="M184" s="269"/>
      <c r="N184" s="283" t="str">
        <f t="array" ref="N184">if(C184=0,"",INDEX('Biaya Administrasi'!E:E, MATCH(I184, 'Biaya Administrasi'!B:B, 0)))</f>
        <v/>
      </c>
      <c r="O184" s="284" t="str">
        <f t="shared" si="2"/>
        <v/>
      </c>
      <c r="P184" s="285" t="str">
        <f t="array" ref="P184">if(J184=0,"",INDEX('Biaya Gratis Ongkir Xtra'!D:D, MATCH(J184, 'Biaya Gratis Ongkir Xtra'!C:C, 0)))</f>
        <v/>
      </c>
      <c r="Q184" s="286" t="str">
        <f t="shared" si="3"/>
        <v/>
      </c>
      <c r="R184" s="287" t="str">
        <f t="array" ref="R184">if(K184=0,"",INDEX('Biaya Gratis Ongkir Xtra'!$C$7:$C$10, MATCH(K184, 'Biaya Gratis Ongkir Xtra'!$B$7:$B$10, 0)))</f>
        <v/>
      </c>
      <c r="S184" s="288" t="str">
        <f t="shared" si="4"/>
        <v/>
      </c>
      <c r="T184" s="273" t="str">
        <f t="shared" si="13"/>
        <v/>
      </c>
      <c r="U184" s="287" t="str">
        <f t="array" ref="U184">if(C184=0,"",INDEX('Biaya Gratis Ongkir Xtra'!$C$3:$C$4, MATCH(L184, 'Biaya Gratis Ongkir Xtra'!$B$3:$B$4, 0)))</f>
        <v/>
      </c>
      <c r="V184" s="288" t="str">
        <f t="shared" si="6"/>
        <v/>
      </c>
      <c r="W184" s="264"/>
      <c r="X184" s="289" t="str">
        <f t="shared" si="7"/>
        <v/>
      </c>
      <c r="Y184" s="290" t="str">
        <f t="shared" si="8"/>
        <v/>
      </c>
      <c r="Z184" s="291" t="str">
        <f t="shared" si="9"/>
        <v/>
      </c>
      <c r="AA184" s="289" t="str">
        <f t="shared" si="10"/>
        <v/>
      </c>
      <c r="AB184" s="291" t="str">
        <f t="shared" si="11"/>
        <v/>
      </c>
      <c r="AC184" s="292" t="str">
        <f t="shared" si="12"/>
        <v/>
      </c>
      <c r="AD184" s="281"/>
      <c r="AE184" s="22"/>
    </row>
    <row r="185">
      <c r="A185" s="264"/>
      <c r="B185" s="267"/>
      <c r="C185" s="265"/>
      <c r="D185" s="265"/>
      <c r="E185" s="265"/>
      <c r="F185" s="266"/>
      <c r="G185" s="267" t="str">
        <f t="shared" si="1"/>
        <v/>
      </c>
      <c r="H185" s="264"/>
      <c r="I185" s="282"/>
      <c r="J185" s="282"/>
      <c r="K185" s="282"/>
      <c r="L185" s="282"/>
      <c r="M185" s="269"/>
      <c r="N185" s="283" t="str">
        <f t="array" ref="N185">if(C185=0,"",INDEX('Biaya Administrasi'!E:E, MATCH(I185, 'Biaya Administrasi'!B:B, 0)))</f>
        <v/>
      </c>
      <c r="O185" s="284" t="str">
        <f t="shared" si="2"/>
        <v/>
      </c>
      <c r="P185" s="285" t="str">
        <f t="array" ref="P185">if(J185=0,"",INDEX('Biaya Gratis Ongkir Xtra'!D:D, MATCH(J185, 'Biaya Gratis Ongkir Xtra'!C:C, 0)))</f>
        <v/>
      </c>
      <c r="Q185" s="286" t="str">
        <f t="shared" si="3"/>
        <v/>
      </c>
      <c r="R185" s="287" t="str">
        <f t="array" ref="R185">if(K185=0,"",INDEX('Biaya Gratis Ongkir Xtra'!$C$7:$C$10, MATCH(K185, 'Biaya Gratis Ongkir Xtra'!$B$7:$B$10, 0)))</f>
        <v/>
      </c>
      <c r="S185" s="288" t="str">
        <f t="shared" si="4"/>
        <v/>
      </c>
      <c r="T185" s="273" t="str">
        <f t="shared" si="13"/>
        <v/>
      </c>
      <c r="U185" s="287" t="str">
        <f t="array" ref="U185">if(C185=0,"",INDEX('Biaya Gratis Ongkir Xtra'!$C$3:$C$4, MATCH(L185, 'Biaya Gratis Ongkir Xtra'!$B$3:$B$4, 0)))</f>
        <v/>
      </c>
      <c r="V185" s="288" t="str">
        <f t="shared" si="6"/>
        <v/>
      </c>
      <c r="W185" s="264"/>
      <c r="X185" s="289" t="str">
        <f t="shared" si="7"/>
        <v/>
      </c>
      <c r="Y185" s="290" t="str">
        <f t="shared" si="8"/>
        <v/>
      </c>
      <c r="Z185" s="291" t="str">
        <f t="shared" si="9"/>
        <v/>
      </c>
      <c r="AA185" s="289" t="str">
        <f t="shared" si="10"/>
        <v/>
      </c>
      <c r="AB185" s="291" t="str">
        <f t="shared" si="11"/>
        <v/>
      </c>
      <c r="AC185" s="292" t="str">
        <f t="shared" si="12"/>
        <v/>
      </c>
      <c r="AD185" s="281"/>
      <c r="AE185" s="22"/>
    </row>
    <row r="186">
      <c r="A186" s="264"/>
      <c r="B186" s="267"/>
      <c r="C186" s="265"/>
      <c r="D186" s="265"/>
      <c r="E186" s="265"/>
      <c r="F186" s="266"/>
      <c r="G186" s="267" t="str">
        <f t="shared" si="1"/>
        <v/>
      </c>
      <c r="H186" s="264"/>
      <c r="I186" s="282"/>
      <c r="J186" s="282"/>
      <c r="K186" s="282"/>
      <c r="L186" s="282"/>
      <c r="M186" s="269"/>
      <c r="N186" s="283" t="str">
        <f t="array" ref="N186">if(C186=0,"",INDEX('Biaya Administrasi'!E:E, MATCH(I186, 'Biaya Administrasi'!B:B, 0)))</f>
        <v/>
      </c>
      <c r="O186" s="284" t="str">
        <f t="shared" si="2"/>
        <v/>
      </c>
      <c r="P186" s="285" t="str">
        <f t="array" ref="P186">if(J186=0,"",INDEX('Biaya Gratis Ongkir Xtra'!D:D, MATCH(J186, 'Biaya Gratis Ongkir Xtra'!C:C, 0)))</f>
        <v/>
      </c>
      <c r="Q186" s="286" t="str">
        <f t="shared" si="3"/>
        <v/>
      </c>
      <c r="R186" s="287" t="str">
        <f t="array" ref="R186">if(K186=0,"",INDEX('Biaya Gratis Ongkir Xtra'!$C$7:$C$10, MATCH(K186, 'Biaya Gratis Ongkir Xtra'!$B$7:$B$10, 0)))</f>
        <v/>
      </c>
      <c r="S186" s="288" t="str">
        <f t="shared" si="4"/>
        <v/>
      </c>
      <c r="T186" s="273" t="str">
        <f t="shared" si="13"/>
        <v/>
      </c>
      <c r="U186" s="287" t="str">
        <f t="array" ref="U186">if(C186=0,"",INDEX('Biaya Gratis Ongkir Xtra'!$C$3:$C$4, MATCH(L186, 'Biaya Gratis Ongkir Xtra'!$B$3:$B$4, 0)))</f>
        <v/>
      </c>
      <c r="V186" s="288" t="str">
        <f t="shared" si="6"/>
        <v/>
      </c>
      <c r="W186" s="264"/>
      <c r="X186" s="289" t="str">
        <f t="shared" si="7"/>
        <v/>
      </c>
      <c r="Y186" s="290" t="str">
        <f t="shared" si="8"/>
        <v/>
      </c>
      <c r="Z186" s="291" t="str">
        <f t="shared" si="9"/>
        <v/>
      </c>
      <c r="AA186" s="289" t="str">
        <f t="shared" si="10"/>
        <v/>
      </c>
      <c r="AB186" s="291" t="str">
        <f t="shared" si="11"/>
        <v/>
      </c>
      <c r="AC186" s="292" t="str">
        <f t="shared" si="12"/>
        <v/>
      </c>
      <c r="AD186" s="281"/>
      <c r="AE186" s="22"/>
    </row>
    <row r="187">
      <c r="A187" s="264"/>
      <c r="B187" s="267"/>
      <c r="C187" s="265"/>
      <c r="D187" s="265"/>
      <c r="E187" s="265"/>
      <c r="F187" s="266"/>
      <c r="G187" s="267" t="str">
        <f t="shared" si="1"/>
        <v/>
      </c>
      <c r="H187" s="264"/>
      <c r="I187" s="282"/>
      <c r="J187" s="282"/>
      <c r="K187" s="282"/>
      <c r="L187" s="282"/>
      <c r="M187" s="269"/>
      <c r="N187" s="283" t="str">
        <f t="array" ref="N187">if(C187=0,"",INDEX('Biaya Administrasi'!E:E, MATCH(I187, 'Biaya Administrasi'!B:B, 0)))</f>
        <v/>
      </c>
      <c r="O187" s="284" t="str">
        <f t="shared" si="2"/>
        <v/>
      </c>
      <c r="P187" s="285" t="str">
        <f t="array" ref="P187">if(J187=0,"",INDEX('Biaya Gratis Ongkir Xtra'!D:D, MATCH(J187, 'Biaya Gratis Ongkir Xtra'!C:C, 0)))</f>
        <v/>
      </c>
      <c r="Q187" s="286" t="str">
        <f t="shared" si="3"/>
        <v/>
      </c>
      <c r="R187" s="287" t="str">
        <f t="array" ref="R187">if(K187=0,"",INDEX('Biaya Gratis Ongkir Xtra'!$C$7:$C$10, MATCH(K187, 'Biaya Gratis Ongkir Xtra'!$B$7:$B$10, 0)))</f>
        <v/>
      </c>
      <c r="S187" s="288" t="str">
        <f t="shared" si="4"/>
        <v/>
      </c>
      <c r="T187" s="273" t="str">
        <f t="shared" si="13"/>
        <v/>
      </c>
      <c r="U187" s="287" t="str">
        <f t="array" ref="U187">if(C187=0,"",INDEX('Biaya Gratis Ongkir Xtra'!$C$3:$C$4, MATCH(L187, 'Biaya Gratis Ongkir Xtra'!$B$3:$B$4, 0)))</f>
        <v/>
      </c>
      <c r="V187" s="288" t="str">
        <f t="shared" si="6"/>
        <v/>
      </c>
      <c r="W187" s="264"/>
      <c r="X187" s="289" t="str">
        <f t="shared" si="7"/>
        <v/>
      </c>
      <c r="Y187" s="290" t="str">
        <f t="shared" si="8"/>
        <v/>
      </c>
      <c r="Z187" s="291" t="str">
        <f t="shared" si="9"/>
        <v/>
      </c>
      <c r="AA187" s="289" t="str">
        <f t="shared" si="10"/>
        <v/>
      </c>
      <c r="AB187" s="291" t="str">
        <f t="shared" si="11"/>
        <v/>
      </c>
      <c r="AC187" s="292" t="str">
        <f t="shared" si="12"/>
        <v/>
      </c>
      <c r="AD187" s="281"/>
      <c r="AE187" s="22"/>
    </row>
    <row r="188">
      <c r="A188" s="264"/>
      <c r="B188" s="267"/>
      <c r="C188" s="265"/>
      <c r="D188" s="265"/>
      <c r="E188" s="265"/>
      <c r="F188" s="266"/>
      <c r="G188" s="267" t="str">
        <f t="shared" si="1"/>
        <v/>
      </c>
      <c r="H188" s="264"/>
      <c r="I188" s="282"/>
      <c r="J188" s="282"/>
      <c r="K188" s="282"/>
      <c r="L188" s="282"/>
      <c r="M188" s="269"/>
      <c r="N188" s="283" t="str">
        <f t="array" ref="N188">if(C188=0,"",INDEX('Biaya Administrasi'!E:E, MATCH(I188, 'Biaya Administrasi'!B:B, 0)))</f>
        <v/>
      </c>
      <c r="O188" s="284" t="str">
        <f t="shared" si="2"/>
        <v/>
      </c>
      <c r="P188" s="285" t="str">
        <f t="array" ref="P188">if(J188=0,"",INDEX('Biaya Gratis Ongkir Xtra'!D:D, MATCH(J188, 'Biaya Gratis Ongkir Xtra'!C:C, 0)))</f>
        <v/>
      </c>
      <c r="Q188" s="286" t="str">
        <f t="shared" si="3"/>
        <v/>
      </c>
      <c r="R188" s="287" t="str">
        <f t="array" ref="R188">if(K188=0,"",INDEX('Biaya Gratis Ongkir Xtra'!$C$7:$C$10, MATCH(K188, 'Biaya Gratis Ongkir Xtra'!$B$7:$B$10, 0)))</f>
        <v/>
      </c>
      <c r="S188" s="288" t="str">
        <f t="shared" si="4"/>
        <v/>
      </c>
      <c r="T188" s="273" t="str">
        <f t="shared" si="13"/>
        <v/>
      </c>
      <c r="U188" s="287" t="str">
        <f t="array" ref="U188">if(C188=0,"",INDEX('Biaya Gratis Ongkir Xtra'!$C$3:$C$4, MATCH(L188, 'Biaya Gratis Ongkir Xtra'!$B$3:$B$4, 0)))</f>
        <v/>
      </c>
      <c r="V188" s="288" t="str">
        <f t="shared" si="6"/>
        <v/>
      </c>
      <c r="W188" s="264"/>
      <c r="X188" s="289" t="str">
        <f t="shared" si="7"/>
        <v/>
      </c>
      <c r="Y188" s="290" t="str">
        <f t="shared" si="8"/>
        <v/>
      </c>
      <c r="Z188" s="291" t="str">
        <f t="shared" si="9"/>
        <v/>
      </c>
      <c r="AA188" s="289" t="str">
        <f t="shared" si="10"/>
        <v/>
      </c>
      <c r="AB188" s="291" t="str">
        <f t="shared" si="11"/>
        <v/>
      </c>
      <c r="AC188" s="292" t="str">
        <f t="shared" si="12"/>
        <v/>
      </c>
      <c r="AD188" s="281"/>
      <c r="AE188" s="22"/>
    </row>
    <row r="189">
      <c r="A189" s="264"/>
      <c r="B189" s="267"/>
      <c r="C189" s="265"/>
      <c r="D189" s="265"/>
      <c r="E189" s="265"/>
      <c r="F189" s="266"/>
      <c r="G189" s="267" t="str">
        <f t="shared" si="1"/>
        <v/>
      </c>
      <c r="H189" s="264"/>
      <c r="I189" s="282"/>
      <c r="J189" s="282"/>
      <c r="K189" s="282"/>
      <c r="L189" s="282"/>
      <c r="M189" s="269"/>
      <c r="N189" s="283" t="str">
        <f t="array" ref="N189">if(C189=0,"",INDEX('Biaya Administrasi'!E:E, MATCH(I189, 'Biaya Administrasi'!B:B, 0)))</f>
        <v/>
      </c>
      <c r="O189" s="284" t="str">
        <f t="shared" si="2"/>
        <v/>
      </c>
      <c r="P189" s="285" t="str">
        <f t="array" ref="P189">if(J189=0,"",INDEX('Biaya Gratis Ongkir Xtra'!D:D, MATCH(J189, 'Biaya Gratis Ongkir Xtra'!C:C, 0)))</f>
        <v/>
      </c>
      <c r="Q189" s="286" t="str">
        <f t="shared" si="3"/>
        <v/>
      </c>
      <c r="R189" s="287" t="str">
        <f t="array" ref="R189">if(K189=0,"",INDEX('Biaya Gratis Ongkir Xtra'!$C$7:$C$10, MATCH(K189, 'Biaya Gratis Ongkir Xtra'!$B$7:$B$10, 0)))</f>
        <v/>
      </c>
      <c r="S189" s="288" t="str">
        <f t="shared" si="4"/>
        <v/>
      </c>
      <c r="T189" s="273" t="str">
        <f t="shared" si="13"/>
        <v/>
      </c>
      <c r="U189" s="287" t="str">
        <f t="array" ref="U189">if(C189=0,"",INDEX('Biaya Gratis Ongkir Xtra'!$C$3:$C$4, MATCH(L189, 'Biaya Gratis Ongkir Xtra'!$B$3:$B$4, 0)))</f>
        <v/>
      </c>
      <c r="V189" s="288" t="str">
        <f t="shared" si="6"/>
        <v/>
      </c>
      <c r="W189" s="264"/>
      <c r="X189" s="289" t="str">
        <f t="shared" si="7"/>
        <v/>
      </c>
      <c r="Y189" s="290" t="str">
        <f t="shared" si="8"/>
        <v/>
      </c>
      <c r="Z189" s="291" t="str">
        <f t="shared" si="9"/>
        <v/>
      </c>
      <c r="AA189" s="289" t="str">
        <f t="shared" si="10"/>
        <v/>
      </c>
      <c r="AB189" s="291" t="str">
        <f t="shared" si="11"/>
        <v/>
      </c>
      <c r="AC189" s="292" t="str">
        <f t="shared" si="12"/>
        <v/>
      </c>
      <c r="AD189" s="281"/>
      <c r="AE189" s="22"/>
    </row>
    <row r="190">
      <c r="A190" s="264"/>
      <c r="B190" s="267"/>
      <c r="C190" s="265"/>
      <c r="D190" s="265"/>
      <c r="E190" s="265"/>
      <c r="F190" s="266"/>
      <c r="G190" s="267" t="str">
        <f t="shared" si="1"/>
        <v/>
      </c>
      <c r="H190" s="264"/>
      <c r="I190" s="282"/>
      <c r="J190" s="282"/>
      <c r="K190" s="282"/>
      <c r="L190" s="282"/>
      <c r="M190" s="269"/>
      <c r="N190" s="283" t="str">
        <f t="array" ref="N190">if(C190=0,"",INDEX('Biaya Administrasi'!E:E, MATCH(I190, 'Biaya Administrasi'!B:B, 0)))</f>
        <v/>
      </c>
      <c r="O190" s="284" t="str">
        <f t="shared" si="2"/>
        <v/>
      </c>
      <c r="P190" s="285" t="str">
        <f t="array" ref="P190">if(J190=0,"",INDEX('Biaya Gratis Ongkir Xtra'!D:D, MATCH(J190, 'Biaya Gratis Ongkir Xtra'!C:C, 0)))</f>
        <v/>
      </c>
      <c r="Q190" s="286" t="str">
        <f t="shared" si="3"/>
        <v/>
      </c>
      <c r="R190" s="287" t="str">
        <f t="array" ref="R190">if(K190=0,"",INDEX('Biaya Gratis Ongkir Xtra'!$C$7:$C$10, MATCH(K190, 'Biaya Gratis Ongkir Xtra'!$B$7:$B$10, 0)))</f>
        <v/>
      </c>
      <c r="S190" s="288" t="str">
        <f t="shared" si="4"/>
        <v/>
      </c>
      <c r="T190" s="273" t="str">
        <f t="shared" si="13"/>
        <v/>
      </c>
      <c r="U190" s="287" t="str">
        <f t="array" ref="U190">if(C190=0,"",INDEX('Biaya Gratis Ongkir Xtra'!$C$3:$C$4, MATCH(L190, 'Biaya Gratis Ongkir Xtra'!$B$3:$B$4, 0)))</f>
        <v/>
      </c>
      <c r="V190" s="288" t="str">
        <f t="shared" si="6"/>
        <v/>
      </c>
      <c r="W190" s="264"/>
      <c r="X190" s="289" t="str">
        <f t="shared" si="7"/>
        <v/>
      </c>
      <c r="Y190" s="290" t="str">
        <f t="shared" si="8"/>
        <v/>
      </c>
      <c r="Z190" s="291" t="str">
        <f t="shared" si="9"/>
        <v/>
      </c>
      <c r="AA190" s="289" t="str">
        <f t="shared" si="10"/>
        <v/>
      </c>
      <c r="AB190" s="291" t="str">
        <f t="shared" si="11"/>
        <v/>
      </c>
      <c r="AC190" s="292" t="str">
        <f t="shared" si="12"/>
        <v/>
      </c>
      <c r="AD190" s="281"/>
      <c r="AE190" s="22"/>
    </row>
    <row r="191">
      <c r="A191" s="264"/>
      <c r="B191" s="267"/>
      <c r="C191" s="265"/>
      <c r="D191" s="265"/>
      <c r="E191" s="265"/>
      <c r="F191" s="266"/>
      <c r="G191" s="267" t="str">
        <f t="shared" si="1"/>
        <v/>
      </c>
      <c r="H191" s="264"/>
      <c r="I191" s="282"/>
      <c r="J191" s="282"/>
      <c r="K191" s="282"/>
      <c r="L191" s="282"/>
      <c r="M191" s="269"/>
      <c r="N191" s="283" t="str">
        <f t="array" ref="N191">if(C191=0,"",INDEX('Biaya Administrasi'!E:E, MATCH(I191, 'Biaya Administrasi'!B:B, 0)))</f>
        <v/>
      </c>
      <c r="O191" s="284" t="str">
        <f t="shared" si="2"/>
        <v/>
      </c>
      <c r="P191" s="285" t="str">
        <f t="array" ref="P191">if(J191=0,"",INDEX('Biaya Gratis Ongkir Xtra'!D:D, MATCH(J191, 'Biaya Gratis Ongkir Xtra'!C:C, 0)))</f>
        <v/>
      </c>
      <c r="Q191" s="286" t="str">
        <f t="shared" si="3"/>
        <v/>
      </c>
      <c r="R191" s="287" t="str">
        <f t="array" ref="R191">if(K191=0,"",INDEX('Biaya Gratis Ongkir Xtra'!$C$7:$C$10, MATCH(K191, 'Biaya Gratis Ongkir Xtra'!$B$7:$B$10, 0)))</f>
        <v/>
      </c>
      <c r="S191" s="288" t="str">
        <f t="shared" si="4"/>
        <v/>
      </c>
      <c r="T191" s="273" t="str">
        <f t="shared" si="13"/>
        <v/>
      </c>
      <c r="U191" s="287" t="str">
        <f t="array" ref="U191">if(C191=0,"",INDEX('Biaya Gratis Ongkir Xtra'!$C$3:$C$4, MATCH(L191, 'Biaya Gratis Ongkir Xtra'!$B$3:$B$4, 0)))</f>
        <v/>
      </c>
      <c r="V191" s="288" t="str">
        <f t="shared" si="6"/>
        <v/>
      </c>
      <c r="W191" s="264"/>
      <c r="X191" s="289" t="str">
        <f t="shared" si="7"/>
        <v/>
      </c>
      <c r="Y191" s="290" t="str">
        <f t="shared" si="8"/>
        <v/>
      </c>
      <c r="Z191" s="291" t="str">
        <f t="shared" si="9"/>
        <v/>
      </c>
      <c r="AA191" s="289" t="str">
        <f t="shared" si="10"/>
        <v/>
      </c>
      <c r="AB191" s="291" t="str">
        <f t="shared" si="11"/>
        <v/>
      </c>
      <c r="AC191" s="292" t="str">
        <f t="shared" si="12"/>
        <v/>
      </c>
      <c r="AD191" s="281"/>
      <c r="AE191" s="22"/>
    </row>
    <row r="192">
      <c r="A192" s="264"/>
      <c r="B192" s="267"/>
      <c r="C192" s="265"/>
      <c r="D192" s="265"/>
      <c r="E192" s="265"/>
      <c r="F192" s="266"/>
      <c r="G192" s="267" t="str">
        <f t="shared" si="1"/>
        <v/>
      </c>
      <c r="H192" s="264"/>
      <c r="I192" s="282"/>
      <c r="J192" s="282"/>
      <c r="K192" s="282"/>
      <c r="L192" s="282"/>
      <c r="M192" s="269"/>
      <c r="N192" s="283" t="str">
        <f t="array" ref="N192">if(C192=0,"",INDEX('Biaya Administrasi'!E:E, MATCH(I192, 'Biaya Administrasi'!B:B, 0)))</f>
        <v/>
      </c>
      <c r="O192" s="284" t="str">
        <f t="shared" si="2"/>
        <v/>
      </c>
      <c r="P192" s="285" t="str">
        <f t="array" ref="P192">if(J192=0,"",INDEX('Biaya Gratis Ongkir Xtra'!D:D, MATCH(J192, 'Biaya Gratis Ongkir Xtra'!C:C, 0)))</f>
        <v/>
      </c>
      <c r="Q192" s="286" t="str">
        <f t="shared" si="3"/>
        <v/>
      </c>
      <c r="R192" s="287" t="str">
        <f t="array" ref="R192">if(K192=0,"",INDEX('Biaya Gratis Ongkir Xtra'!$C$7:$C$10, MATCH(K192, 'Biaya Gratis Ongkir Xtra'!$B$7:$B$10, 0)))</f>
        <v/>
      </c>
      <c r="S192" s="288" t="str">
        <f t="shared" si="4"/>
        <v/>
      </c>
      <c r="T192" s="273" t="str">
        <f t="shared" si="13"/>
        <v/>
      </c>
      <c r="U192" s="287" t="str">
        <f t="array" ref="U192">if(C192=0,"",INDEX('Biaya Gratis Ongkir Xtra'!$C$3:$C$4, MATCH(L192, 'Biaya Gratis Ongkir Xtra'!$B$3:$B$4, 0)))</f>
        <v/>
      </c>
      <c r="V192" s="288" t="str">
        <f t="shared" si="6"/>
        <v/>
      </c>
      <c r="W192" s="264"/>
      <c r="X192" s="289" t="str">
        <f t="shared" si="7"/>
        <v/>
      </c>
      <c r="Y192" s="290" t="str">
        <f t="shared" si="8"/>
        <v/>
      </c>
      <c r="Z192" s="291" t="str">
        <f t="shared" si="9"/>
        <v/>
      </c>
      <c r="AA192" s="289" t="str">
        <f t="shared" si="10"/>
        <v/>
      </c>
      <c r="AB192" s="291" t="str">
        <f t="shared" si="11"/>
        <v/>
      </c>
      <c r="AC192" s="292" t="str">
        <f t="shared" si="12"/>
        <v/>
      </c>
      <c r="AD192" s="281"/>
      <c r="AE192" s="22"/>
    </row>
    <row r="193">
      <c r="A193" s="264"/>
      <c r="B193" s="267"/>
      <c r="C193" s="265"/>
      <c r="D193" s="265"/>
      <c r="E193" s="265"/>
      <c r="F193" s="266"/>
      <c r="G193" s="267" t="str">
        <f t="shared" si="1"/>
        <v/>
      </c>
      <c r="H193" s="264"/>
      <c r="I193" s="282"/>
      <c r="J193" s="282"/>
      <c r="K193" s="282"/>
      <c r="L193" s="282"/>
      <c r="M193" s="269"/>
      <c r="N193" s="283" t="str">
        <f t="array" ref="N193">if(C193=0,"",INDEX('Biaya Administrasi'!E:E, MATCH(I193, 'Biaya Administrasi'!B:B, 0)))</f>
        <v/>
      </c>
      <c r="O193" s="284" t="str">
        <f t="shared" si="2"/>
        <v/>
      </c>
      <c r="P193" s="285" t="str">
        <f t="array" ref="P193">if(J193=0,"",INDEX('Biaya Gratis Ongkir Xtra'!D:D, MATCH(J193, 'Biaya Gratis Ongkir Xtra'!C:C, 0)))</f>
        <v/>
      </c>
      <c r="Q193" s="286" t="str">
        <f t="shared" si="3"/>
        <v/>
      </c>
      <c r="R193" s="287" t="str">
        <f t="array" ref="R193">if(K193=0,"",INDEX('Biaya Gratis Ongkir Xtra'!$C$7:$C$10, MATCH(K193, 'Biaya Gratis Ongkir Xtra'!$B$7:$B$10, 0)))</f>
        <v/>
      </c>
      <c r="S193" s="288" t="str">
        <f t="shared" si="4"/>
        <v/>
      </c>
      <c r="T193" s="273" t="str">
        <f t="shared" si="13"/>
        <v/>
      </c>
      <c r="U193" s="287" t="str">
        <f t="array" ref="U193">if(C193=0,"",INDEX('Biaya Gratis Ongkir Xtra'!$C$3:$C$4, MATCH(L193, 'Biaya Gratis Ongkir Xtra'!$B$3:$B$4, 0)))</f>
        <v/>
      </c>
      <c r="V193" s="288" t="str">
        <f t="shared" si="6"/>
        <v/>
      </c>
      <c r="W193" s="264"/>
      <c r="X193" s="289" t="str">
        <f t="shared" si="7"/>
        <v/>
      </c>
      <c r="Y193" s="290" t="str">
        <f t="shared" si="8"/>
        <v/>
      </c>
      <c r="Z193" s="291" t="str">
        <f t="shared" si="9"/>
        <v/>
      </c>
      <c r="AA193" s="289" t="str">
        <f t="shared" si="10"/>
        <v/>
      </c>
      <c r="AB193" s="291" t="str">
        <f t="shared" si="11"/>
        <v/>
      </c>
      <c r="AC193" s="292" t="str">
        <f t="shared" si="12"/>
        <v/>
      </c>
      <c r="AD193" s="281"/>
      <c r="AE193" s="22"/>
    </row>
    <row r="194">
      <c r="A194" s="264"/>
      <c r="B194" s="267"/>
      <c r="C194" s="265"/>
      <c r="D194" s="265"/>
      <c r="E194" s="265"/>
      <c r="F194" s="266"/>
      <c r="G194" s="267" t="str">
        <f t="shared" si="1"/>
        <v/>
      </c>
      <c r="H194" s="264"/>
      <c r="I194" s="282"/>
      <c r="J194" s="282"/>
      <c r="K194" s="282"/>
      <c r="L194" s="282"/>
      <c r="M194" s="269"/>
      <c r="N194" s="283" t="str">
        <f t="array" ref="N194">if(C194=0,"",INDEX('Biaya Administrasi'!E:E, MATCH(I194, 'Biaya Administrasi'!B:B, 0)))</f>
        <v/>
      </c>
      <c r="O194" s="284" t="str">
        <f t="shared" si="2"/>
        <v/>
      </c>
      <c r="P194" s="285" t="str">
        <f t="array" ref="P194">if(J194=0,"",INDEX('Biaya Gratis Ongkir Xtra'!D:D, MATCH(J194, 'Biaya Gratis Ongkir Xtra'!C:C, 0)))</f>
        <v/>
      </c>
      <c r="Q194" s="286" t="str">
        <f t="shared" si="3"/>
        <v/>
      </c>
      <c r="R194" s="287" t="str">
        <f t="array" ref="R194">if(K194=0,"",INDEX('Biaya Gratis Ongkir Xtra'!$C$7:$C$10, MATCH(K194, 'Biaya Gratis Ongkir Xtra'!$B$7:$B$10, 0)))</f>
        <v/>
      </c>
      <c r="S194" s="288" t="str">
        <f t="shared" si="4"/>
        <v/>
      </c>
      <c r="T194" s="273" t="str">
        <f t="shared" si="13"/>
        <v/>
      </c>
      <c r="U194" s="287" t="str">
        <f t="array" ref="U194">if(C194=0,"",INDEX('Biaya Gratis Ongkir Xtra'!$C$3:$C$4, MATCH(L194, 'Biaya Gratis Ongkir Xtra'!$B$3:$B$4, 0)))</f>
        <v/>
      </c>
      <c r="V194" s="288" t="str">
        <f t="shared" si="6"/>
        <v/>
      </c>
      <c r="W194" s="264"/>
      <c r="X194" s="289" t="str">
        <f t="shared" si="7"/>
        <v/>
      </c>
      <c r="Y194" s="290" t="str">
        <f t="shared" si="8"/>
        <v/>
      </c>
      <c r="Z194" s="291" t="str">
        <f t="shared" si="9"/>
        <v/>
      </c>
      <c r="AA194" s="289" t="str">
        <f t="shared" si="10"/>
        <v/>
      </c>
      <c r="AB194" s="291" t="str">
        <f t="shared" si="11"/>
        <v/>
      </c>
      <c r="AC194" s="292" t="str">
        <f t="shared" si="12"/>
        <v/>
      </c>
      <c r="AD194" s="281"/>
      <c r="AE194" s="22"/>
    </row>
    <row r="195">
      <c r="A195" s="264"/>
      <c r="B195" s="267"/>
      <c r="C195" s="265"/>
      <c r="D195" s="265"/>
      <c r="E195" s="265"/>
      <c r="F195" s="266"/>
      <c r="G195" s="267" t="str">
        <f t="shared" si="1"/>
        <v/>
      </c>
      <c r="H195" s="264"/>
      <c r="I195" s="282"/>
      <c r="J195" s="282"/>
      <c r="K195" s="282"/>
      <c r="L195" s="282"/>
      <c r="M195" s="269"/>
      <c r="N195" s="283" t="str">
        <f t="array" ref="N195">if(C195=0,"",INDEX('Biaya Administrasi'!E:E, MATCH(I195, 'Biaya Administrasi'!B:B, 0)))</f>
        <v/>
      </c>
      <c r="O195" s="284" t="str">
        <f t="shared" si="2"/>
        <v/>
      </c>
      <c r="P195" s="285" t="str">
        <f t="array" ref="P195">if(J195=0,"",INDEX('Biaya Gratis Ongkir Xtra'!D:D, MATCH(J195, 'Biaya Gratis Ongkir Xtra'!C:C, 0)))</f>
        <v/>
      </c>
      <c r="Q195" s="286" t="str">
        <f t="shared" si="3"/>
        <v/>
      </c>
      <c r="R195" s="287" t="str">
        <f t="array" ref="R195">if(K195=0,"",INDEX('Biaya Gratis Ongkir Xtra'!$C$7:$C$10, MATCH(K195, 'Biaya Gratis Ongkir Xtra'!$B$7:$B$10, 0)))</f>
        <v/>
      </c>
      <c r="S195" s="288" t="str">
        <f t="shared" si="4"/>
        <v/>
      </c>
      <c r="T195" s="273" t="str">
        <f t="shared" si="13"/>
        <v/>
      </c>
      <c r="U195" s="287" t="str">
        <f t="array" ref="U195">if(C195=0,"",INDEX('Biaya Gratis Ongkir Xtra'!$C$3:$C$4, MATCH(L195, 'Biaya Gratis Ongkir Xtra'!$B$3:$B$4, 0)))</f>
        <v/>
      </c>
      <c r="V195" s="288" t="str">
        <f t="shared" si="6"/>
        <v/>
      </c>
      <c r="W195" s="264"/>
      <c r="X195" s="289" t="str">
        <f t="shared" si="7"/>
        <v/>
      </c>
      <c r="Y195" s="290" t="str">
        <f t="shared" si="8"/>
        <v/>
      </c>
      <c r="Z195" s="291" t="str">
        <f t="shared" si="9"/>
        <v/>
      </c>
      <c r="AA195" s="289" t="str">
        <f t="shared" si="10"/>
        <v/>
      </c>
      <c r="AB195" s="291" t="str">
        <f t="shared" si="11"/>
        <v/>
      </c>
      <c r="AC195" s="292" t="str">
        <f t="shared" si="12"/>
        <v/>
      </c>
      <c r="AD195" s="281"/>
      <c r="AE195" s="22"/>
    </row>
    <row r="196">
      <c r="A196" s="264"/>
      <c r="B196" s="267"/>
      <c r="C196" s="265"/>
      <c r="D196" s="265"/>
      <c r="E196" s="265"/>
      <c r="F196" s="266"/>
      <c r="G196" s="267" t="str">
        <f t="shared" si="1"/>
        <v/>
      </c>
      <c r="H196" s="264"/>
      <c r="I196" s="282"/>
      <c r="J196" s="282"/>
      <c r="K196" s="282"/>
      <c r="L196" s="282"/>
      <c r="M196" s="269"/>
      <c r="N196" s="283" t="str">
        <f t="array" ref="N196">if(C196=0,"",INDEX('Biaya Administrasi'!E:E, MATCH(I196, 'Biaya Administrasi'!B:B, 0)))</f>
        <v/>
      </c>
      <c r="O196" s="284" t="str">
        <f t="shared" si="2"/>
        <v/>
      </c>
      <c r="P196" s="285" t="str">
        <f t="array" ref="P196">if(J196=0,"",INDEX('Biaya Gratis Ongkir Xtra'!D:D, MATCH(J196, 'Biaya Gratis Ongkir Xtra'!C:C, 0)))</f>
        <v/>
      </c>
      <c r="Q196" s="286" t="str">
        <f t="shared" si="3"/>
        <v/>
      </c>
      <c r="R196" s="287" t="str">
        <f t="array" ref="R196">if(K196=0,"",INDEX('Biaya Gratis Ongkir Xtra'!$C$7:$C$10, MATCH(K196, 'Biaya Gratis Ongkir Xtra'!$B$7:$B$10, 0)))</f>
        <v/>
      </c>
      <c r="S196" s="288" t="str">
        <f t="shared" si="4"/>
        <v/>
      </c>
      <c r="T196" s="273" t="str">
        <f t="shared" si="13"/>
        <v/>
      </c>
      <c r="U196" s="287" t="str">
        <f t="array" ref="U196">if(C196=0,"",INDEX('Biaya Gratis Ongkir Xtra'!$C$3:$C$4, MATCH(L196, 'Biaya Gratis Ongkir Xtra'!$B$3:$B$4, 0)))</f>
        <v/>
      </c>
      <c r="V196" s="288" t="str">
        <f t="shared" si="6"/>
        <v/>
      </c>
      <c r="W196" s="264"/>
      <c r="X196" s="289" t="str">
        <f t="shared" si="7"/>
        <v/>
      </c>
      <c r="Y196" s="290" t="str">
        <f t="shared" si="8"/>
        <v/>
      </c>
      <c r="Z196" s="291" t="str">
        <f t="shared" si="9"/>
        <v/>
      </c>
      <c r="AA196" s="289" t="str">
        <f t="shared" si="10"/>
        <v/>
      </c>
      <c r="AB196" s="291" t="str">
        <f t="shared" si="11"/>
        <v/>
      </c>
      <c r="AC196" s="292" t="str">
        <f t="shared" si="12"/>
        <v/>
      </c>
      <c r="AD196" s="281"/>
      <c r="AE196" s="22"/>
    </row>
    <row r="197">
      <c r="A197" s="264"/>
      <c r="B197" s="267"/>
      <c r="C197" s="265"/>
      <c r="D197" s="265"/>
      <c r="E197" s="265"/>
      <c r="F197" s="266"/>
      <c r="G197" s="267" t="str">
        <f t="shared" si="1"/>
        <v/>
      </c>
      <c r="H197" s="264"/>
      <c r="I197" s="282"/>
      <c r="J197" s="282"/>
      <c r="K197" s="282"/>
      <c r="L197" s="282"/>
      <c r="M197" s="269"/>
      <c r="N197" s="283" t="str">
        <f t="array" ref="N197">if(C197=0,"",INDEX('Biaya Administrasi'!E:E, MATCH(I197, 'Biaya Administrasi'!B:B, 0)))</f>
        <v/>
      </c>
      <c r="O197" s="284" t="str">
        <f t="shared" si="2"/>
        <v/>
      </c>
      <c r="P197" s="285" t="str">
        <f t="array" ref="P197">if(J197=0,"",INDEX('Biaya Gratis Ongkir Xtra'!D:D, MATCH(J197, 'Biaya Gratis Ongkir Xtra'!C:C, 0)))</f>
        <v/>
      </c>
      <c r="Q197" s="286" t="str">
        <f t="shared" si="3"/>
        <v/>
      </c>
      <c r="R197" s="287" t="str">
        <f t="array" ref="R197">if(K197=0,"",INDEX('Biaya Gratis Ongkir Xtra'!$C$7:$C$10, MATCH(K197, 'Biaya Gratis Ongkir Xtra'!$B$7:$B$10, 0)))</f>
        <v/>
      </c>
      <c r="S197" s="288" t="str">
        <f t="shared" si="4"/>
        <v/>
      </c>
      <c r="T197" s="273" t="str">
        <f t="shared" si="13"/>
        <v/>
      </c>
      <c r="U197" s="287" t="str">
        <f t="array" ref="U197">if(C197=0,"",INDEX('Biaya Gratis Ongkir Xtra'!$C$3:$C$4, MATCH(L197, 'Biaya Gratis Ongkir Xtra'!$B$3:$B$4, 0)))</f>
        <v/>
      </c>
      <c r="V197" s="288" t="str">
        <f t="shared" si="6"/>
        <v/>
      </c>
      <c r="W197" s="264"/>
      <c r="X197" s="289" t="str">
        <f t="shared" si="7"/>
        <v/>
      </c>
      <c r="Y197" s="290" t="str">
        <f t="shared" si="8"/>
        <v/>
      </c>
      <c r="Z197" s="291" t="str">
        <f t="shared" si="9"/>
        <v/>
      </c>
      <c r="AA197" s="289" t="str">
        <f t="shared" si="10"/>
        <v/>
      </c>
      <c r="AB197" s="291" t="str">
        <f t="shared" si="11"/>
        <v/>
      </c>
      <c r="AC197" s="292" t="str">
        <f t="shared" si="12"/>
        <v/>
      </c>
      <c r="AD197" s="281"/>
      <c r="AE197" s="22"/>
    </row>
    <row r="198">
      <c r="A198" s="264"/>
      <c r="B198" s="267"/>
      <c r="C198" s="265"/>
      <c r="D198" s="265"/>
      <c r="E198" s="265"/>
      <c r="F198" s="266"/>
      <c r="G198" s="267" t="str">
        <f t="shared" si="1"/>
        <v/>
      </c>
      <c r="H198" s="264"/>
      <c r="I198" s="282"/>
      <c r="J198" s="282"/>
      <c r="K198" s="282"/>
      <c r="L198" s="282"/>
      <c r="M198" s="269"/>
      <c r="N198" s="283" t="str">
        <f t="array" ref="N198">if(C198=0,"",INDEX('Biaya Administrasi'!E:E, MATCH(I198, 'Biaya Administrasi'!B:B, 0)))</f>
        <v/>
      </c>
      <c r="O198" s="284" t="str">
        <f t="shared" si="2"/>
        <v/>
      </c>
      <c r="P198" s="285" t="str">
        <f t="array" ref="P198">if(J198=0,"",INDEX('Biaya Gratis Ongkir Xtra'!D:D, MATCH(J198, 'Biaya Gratis Ongkir Xtra'!C:C, 0)))</f>
        <v/>
      </c>
      <c r="Q198" s="286" t="str">
        <f t="shared" si="3"/>
        <v/>
      </c>
      <c r="R198" s="287" t="str">
        <f t="array" ref="R198">if(K198=0,"",INDEX('Biaya Gratis Ongkir Xtra'!$C$7:$C$10, MATCH(K198, 'Biaya Gratis Ongkir Xtra'!$B$7:$B$10, 0)))</f>
        <v/>
      </c>
      <c r="S198" s="288" t="str">
        <f t="shared" si="4"/>
        <v/>
      </c>
      <c r="T198" s="273" t="str">
        <f t="shared" si="13"/>
        <v/>
      </c>
      <c r="U198" s="287" t="str">
        <f t="array" ref="U198">if(C198=0,"",INDEX('Biaya Gratis Ongkir Xtra'!$C$3:$C$4, MATCH(L198, 'Biaya Gratis Ongkir Xtra'!$B$3:$B$4, 0)))</f>
        <v/>
      </c>
      <c r="V198" s="288" t="str">
        <f t="shared" si="6"/>
        <v/>
      </c>
      <c r="W198" s="264"/>
      <c r="X198" s="289" t="str">
        <f t="shared" si="7"/>
        <v/>
      </c>
      <c r="Y198" s="290" t="str">
        <f t="shared" si="8"/>
        <v/>
      </c>
      <c r="Z198" s="291" t="str">
        <f t="shared" si="9"/>
        <v/>
      </c>
      <c r="AA198" s="289" t="str">
        <f t="shared" si="10"/>
        <v/>
      </c>
      <c r="AB198" s="291" t="str">
        <f t="shared" si="11"/>
        <v/>
      </c>
      <c r="AC198" s="292" t="str">
        <f t="shared" si="12"/>
        <v/>
      </c>
      <c r="AD198" s="281"/>
      <c r="AE198" s="22"/>
    </row>
    <row r="199">
      <c r="A199" s="264"/>
      <c r="B199" s="267"/>
      <c r="C199" s="265"/>
      <c r="D199" s="265"/>
      <c r="E199" s="265"/>
      <c r="F199" s="266"/>
      <c r="G199" s="267" t="str">
        <f t="shared" si="1"/>
        <v/>
      </c>
      <c r="H199" s="264"/>
      <c r="I199" s="282"/>
      <c r="J199" s="282"/>
      <c r="K199" s="282"/>
      <c r="L199" s="282"/>
      <c r="M199" s="269"/>
      <c r="N199" s="283" t="str">
        <f t="array" ref="N199">if(C199=0,"",INDEX('Biaya Administrasi'!E:E, MATCH(I199, 'Biaya Administrasi'!B:B, 0)))</f>
        <v/>
      </c>
      <c r="O199" s="284" t="str">
        <f t="shared" si="2"/>
        <v/>
      </c>
      <c r="P199" s="285" t="str">
        <f t="array" ref="P199">if(J199=0,"",INDEX('Biaya Gratis Ongkir Xtra'!D:D, MATCH(J199, 'Biaya Gratis Ongkir Xtra'!C:C, 0)))</f>
        <v/>
      </c>
      <c r="Q199" s="286" t="str">
        <f t="shared" si="3"/>
        <v/>
      </c>
      <c r="R199" s="287" t="str">
        <f t="array" ref="R199">if(K199=0,"",INDEX('Biaya Gratis Ongkir Xtra'!$C$7:$C$10, MATCH(K199, 'Biaya Gratis Ongkir Xtra'!$B$7:$B$10, 0)))</f>
        <v/>
      </c>
      <c r="S199" s="288" t="str">
        <f t="shared" si="4"/>
        <v/>
      </c>
      <c r="T199" s="273" t="str">
        <f t="shared" si="13"/>
        <v/>
      </c>
      <c r="U199" s="287" t="str">
        <f t="array" ref="U199">if(C199=0,"",INDEX('Biaya Gratis Ongkir Xtra'!$C$3:$C$4, MATCH(L199, 'Biaya Gratis Ongkir Xtra'!$B$3:$B$4, 0)))</f>
        <v/>
      </c>
      <c r="V199" s="288" t="str">
        <f t="shared" si="6"/>
        <v/>
      </c>
      <c r="W199" s="264"/>
      <c r="X199" s="289" t="str">
        <f t="shared" si="7"/>
        <v/>
      </c>
      <c r="Y199" s="290" t="str">
        <f t="shared" si="8"/>
        <v/>
      </c>
      <c r="Z199" s="291" t="str">
        <f t="shared" si="9"/>
        <v/>
      </c>
      <c r="AA199" s="289" t="str">
        <f t="shared" si="10"/>
        <v/>
      </c>
      <c r="AB199" s="291" t="str">
        <f t="shared" si="11"/>
        <v/>
      </c>
      <c r="AC199" s="292" t="str">
        <f t="shared" si="12"/>
        <v/>
      </c>
      <c r="AD199" s="281"/>
      <c r="AE199" s="22"/>
    </row>
    <row r="200">
      <c r="A200" s="264"/>
      <c r="B200" s="267"/>
      <c r="C200" s="265"/>
      <c r="D200" s="265"/>
      <c r="E200" s="265"/>
      <c r="F200" s="266"/>
      <c r="G200" s="267" t="str">
        <f t="shared" si="1"/>
        <v/>
      </c>
      <c r="H200" s="264"/>
      <c r="I200" s="282"/>
      <c r="J200" s="282"/>
      <c r="K200" s="282"/>
      <c r="L200" s="282"/>
      <c r="M200" s="269"/>
      <c r="N200" s="283" t="str">
        <f t="array" ref="N200">if(C200=0,"",INDEX('Biaya Administrasi'!E:E, MATCH(I200, 'Biaya Administrasi'!B:B, 0)))</f>
        <v/>
      </c>
      <c r="O200" s="284" t="str">
        <f t="shared" si="2"/>
        <v/>
      </c>
      <c r="P200" s="285" t="str">
        <f t="array" ref="P200">if(J200=0,"",INDEX('Biaya Gratis Ongkir Xtra'!D:D, MATCH(J200, 'Biaya Gratis Ongkir Xtra'!C:C, 0)))</f>
        <v/>
      </c>
      <c r="Q200" s="286" t="str">
        <f t="shared" si="3"/>
        <v/>
      </c>
      <c r="R200" s="287" t="str">
        <f t="array" ref="R200">if(K200=0,"",INDEX('Biaya Gratis Ongkir Xtra'!$C$7:$C$10, MATCH(K200, 'Biaya Gratis Ongkir Xtra'!$B$7:$B$10, 0)))</f>
        <v/>
      </c>
      <c r="S200" s="288" t="str">
        <f t="shared" si="4"/>
        <v/>
      </c>
      <c r="T200" s="273" t="str">
        <f t="shared" si="13"/>
        <v/>
      </c>
      <c r="U200" s="287" t="str">
        <f t="array" ref="U200">if(C200=0,"",INDEX('Biaya Gratis Ongkir Xtra'!$C$3:$C$4, MATCH(L200, 'Biaya Gratis Ongkir Xtra'!$B$3:$B$4, 0)))</f>
        <v/>
      </c>
      <c r="V200" s="288" t="str">
        <f t="shared" si="6"/>
        <v/>
      </c>
      <c r="W200" s="264"/>
      <c r="X200" s="289" t="str">
        <f t="shared" si="7"/>
        <v/>
      </c>
      <c r="Y200" s="290" t="str">
        <f t="shared" si="8"/>
        <v/>
      </c>
      <c r="Z200" s="291" t="str">
        <f t="shared" si="9"/>
        <v/>
      </c>
      <c r="AA200" s="289" t="str">
        <f t="shared" si="10"/>
        <v/>
      </c>
      <c r="AB200" s="291" t="str">
        <f t="shared" si="11"/>
        <v/>
      </c>
      <c r="AC200" s="292" t="str">
        <f t="shared" si="12"/>
        <v/>
      </c>
      <c r="AD200" s="281"/>
      <c r="AE200" s="22"/>
    </row>
    <row r="201">
      <c r="A201" s="264"/>
      <c r="B201" s="267"/>
      <c r="C201" s="265"/>
      <c r="D201" s="265"/>
      <c r="E201" s="265"/>
      <c r="F201" s="266"/>
      <c r="G201" s="267" t="str">
        <f t="shared" si="1"/>
        <v/>
      </c>
      <c r="H201" s="264"/>
      <c r="I201" s="282"/>
      <c r="J201" s="282"/>
      <c r="K201" s="282"/>
      <c r="L201" s="282"/>
      <c r="M201" s="269"/>
      <c r="N201" s="283" t="str">
        <f t="array" ref="N201">if(C201=0,"",INDEX('Biaya Administrasi'!E:E, MATCH(I201, 'Biaya Administrasi'!B:B, 0)))</f>
        <v/>
      </c>
      <c r="O201" s="284" t="str">
        <f t="shared" si="2"/>
        <v/>
      </c>
      <c r="P201" s="285" t="str">
        <f t="array" ref="P201">if(J201=0,"",INDEX('Biaya Gratis Ongkir Xtra'!D:D, MATCH(J201, 'Biaya Gratis Ongkir Xtra'!C:C, 0)))</f>
        <v/>
      </c>
      <c r="Q201" s="286" t="str">
        <f t="shared" si="3"/>
        <v/>
      </c>
      <c r="R201" s="287" t="str">
        <f t="array" ref="R201">if(K201=0,"",INDEX('Biaya Gratis Ongkir Xtra'!$C$7:$C$10, MATCH(K201, 'Biaya Gratis Ongkir Xtra'!$B$7:$B$10, 0)))</f>
        <v/>
      </c>
      <c r="S201" s="288" t="str">
        <f t="shared" si="4"/>
        <v/>
      </c>
      <c r="T201" s="273" t="str">
        <f t="shared" si="13"/>
        <v/>
      </c>
      <c r="U201" s="287" t="str">
        <f t="array" ref="U201">if(C201=0,"",INDEX('Biaya Gratis Ongkir Xtra'!$C$3:$C$4, MATCH(L201, 'Biaya Gratis Ongkir Xtra'!$B$3:$B$4, 0)))</f>
        <v/>
      </c>
      <c r="V201" s="288" t="str">
        <f t="shared" si="6"/>
        <v/>
      </c>
      <c r="W201" s="264"/>
      <c r="X201" s="289" t="str">
        <f t="shared" si="7"/>
        <v/>
      </c>
      <c r="Y201" s="290" t="str">
        <f t="shared" si="8"/>
        <v/>
      </c>
      <c r="Z201" s="291" t="str">
        <f t="shared" si="9"/>
        <v/>
      </c>
      <c r="AA201" s="289" t="str">
        <f t="shared" si="10"/>
        <v/>
      </c>
      <c r="AB201" s="291" t="str">
        <f t="shared" si="11"/>
        <v/>
      </c>
      <c r="AC201" s="292" t="str">
        <f t="shared" si="12"/>
        <v/>
      </c>
      <c r="AD201" s="281"/>
      <c r="AE201" s="22"/>
    </row>
    <row r="202">
      <c r="A202" s="264"/>
      <c r="B202" s="267"/>
      <c r="C202" s="265"/>
      <c r="D202" s="265"/>
      <c r="E202" s="265"/>
      <c r="F202" s="266"/>
      <c r="G202" s="267" t="str">
        <f t="shared" si="1"/>
        <v/>
      </c>
      <c r="H202" s="264"/>
      <c r="I202" s="282"/>
      <c r="J202" s="282"/>
      <c r="K202" s="282"/>
      <c r="L202" s="282"/>
      <c r="M202" s="269"/>
      <c r="N202" s="283" t="str">
        <f t="array" ref="N202">if(C202=0,"",INDEX('Biaya Administrasi'!E:E, MATCH(I202, 'Biaya Administrasi'!B:B, 0)))</f>
        <v/>
      </c>
      <c r="O202" s="284" t="str">
        <f t="shared" si="2"/>
        <v/>
      </c>
      <c r="P202" s="285" t="str">
        <f t="array" ref="P202">if(J202=0,"",INDEX('Biaya Gratis Ongkir Xtra'!D:D, MATCH(J202, 'Biaya Gratis Ongkir Xtra'!C:C, 0)))</f>
        <v/>
      </c>
      <c r="Q202" s="286" t="str">
        <f t="shared" si="3"/>
        <v/>
      </c>
      <c r="R202" s="287" t="str">
        <f t="array" ref="R202">if(K202=0,"",INDEX('Biaya Gratis Ongkir Xtra'!$C$7:$C$10, MATCH(K202, 'Biaya Gratis Ongkir Xtra'!$B$7:$B$10, 0)))</f>
        <v/>
      </c>
      <c r="S202" s="288" t="str">
        <f t="shared" si="4"/>
        <v/>
      </c>
      <c r="T202" s="273" t="str">
        <f t="shared" si="13"/>
        <v/>
      </c>
      <c r="U202" s="287" t="str">
        <f t="array" ref="U202">if(C202=0,"",INDEX('Biaya Gratis Ongkir Xtra'!$C$3:$C$4, MATCH(L202, 'Biaya Gratis Ongkir Xtra'!$B$3:$B$4, 0)))</f>
        <v/>
      </c>
      <c r="V202" s="288" t="str">
        <f t="shared" si="6"/>
        <v/>
      </c>
      <c r="W202" s="264"/>
      <c r="X202" s="289" t="str">
        <f t="shared" si="7"/>
        <v/>
      </c>
      <c r="Y202" s="290" t="str">
        <f t="shared" si="8"/>
        <v/>
      </c>
      <c r="Z202" s="291" t="str">
        <f t="shared" si="9"/>
        <v/>
      </c>
      <c r="AA202" s="289" t="str">
        <f t="shared" si="10"/>
        <v/>
      </c>
      <c r="AB202" s="291" t="str">
        <f t="shared" si="11"/>
        <v/>
      </c>
      <c r="AC202" s="292" t="str">
        <f t="shared" si="12"/>
        <v/>
      </c>
      <c r="AD202" s="281"/>
      <c r="AE202" s="22"/>
    </row>
    <row r="203">
      <c r="A203" s="264"/>
      <c r="B203" s="267"/>
      <c r="C203" s="265"/>
      <c r="D203" s="265"/>
      <c r="E203" s="265"/>
      <c r="F203" s="266"/>
      <c r="G203" s="267" t="str">
        <f t="shared" si="1"/>
        <v/>
      </c>
      <c r="H203" s="264"/>
      <c r="I203" s="282"/>
      <c r="J203" s="282"/>
      <c r="K203" s="282"/>
      <c r="L203" s="282"/>
      <c r="M203" s="269"/>
      <c r="N203" s="283" t="str">
        <f t="array" ref="N203">if(C203=0,"",INDEX('Biaya Administrasi'!E:E, MATCH(I203, 'Biaya Administrasi'!B:B, 0)))</f>
        <v/>
      </c>
      <c r="O203" s="284" t="str">
        <f t="shared" si="2"/>
        <v/>
      </c>
      <c r="P203" s="285" t="str">
        <f t="array" ref="P203">if(J203=0,"",INDEX('Biaya Gratis Ongkir Xtra'!D:D, MATCH(J203, 'Biaya Gratis Ongkir Xtra'!C:C, 0)))</f>
        <v/>
      </c>
      <c r="Q203" s="286" t="str">
        <f t="shared" si="3"/>
        <v/>
      </c>
      <c r="R203" s="287" t="str">
        <f t="array" ref="R203">if(K203=0,"",INDEX('Biaya Gratis Ongkir Xtra'!$C$7:$C$10, MATCH(K203, 'Biaya Gratis Ongkir Xtra'!$B$7:$B$10, 0)))</f>
        <v/>
      </c>
      <c r="S203" s="288" t="str">
        <f t="shared" si="4"/>
        <v/>
      </c>
      <c r="T203" s="273" t="str">
        <f t="shared" si="13"/>
        <v/>
      </c>
      <c r="U203" s="287" t="str">
        <f t="array" ref="U203">if(C203=0,"",INDEX('Biaya Gratis Ongkir Xtra'!$C$3:$C$4, MATCH(L203, 'Biaya Gratis Ongkir Xtra'!$B$3:$B$4, 0)))</f>
        <v/>
      </c>
      <c r="V203" s="288" t="str">
        <f t="shared" si="6"/>
        <v/>
      </c>
      <c r="W203" s="264"/>
      <c r="X203" s="289" t="str">
        <f t="shared" si="7"/>
        <v/>
      </c>
      <c r="Y203" s="290" t="str">
        <f t="shared" si="8"/>
        <v/>
      </c>
      <c r="Z203" s="291" t="str">
        <f t="shared" si="9"/>
        <v/>
      </c>
      <c r="AA203" s="289" t="str">
        <f t="shared" si="10"/>
        <v/>
      </c>
      <c r="AB203" s="291" t="str">
        <f t="shared" si="11"/>
        <v/>
      </c>
      <c r="AC203" s="292" t="str">
        <f t="shared" si="12"/>
        <v/>
      </c>
      <c r="AD203" s="281"/>
      <c r="AE203" s="22"/>
    </row>
    <row r="204">
      <c r="A204" s="264"/>
      <c r="B204" s="267"/>
      <c r="C204" s="265"/>
      <c r="D204" s="265"/>
      <c r="E204" s="265"/>
      <c r="F204" s="266"/>
      <c r="G204" s="267" t="str">
        <f t="shared" si="1"/>
        <v/>
      </c>
      <c r="H204" s="264"/>
      <c r="I204" s="282"/>
      <c r="J204" s="282"/>
      <c r="K204" s="282"/>
      <c r="L204" s="282"/>
      <c r="M204" s="269"/>
      <c r="N204" s="283" t="str">
        <f t="array" ref="N204">if(C204=0,"",INDEX('Biaya Administrasi'!E:E, MATCH(I204, 'Biaya Administrasi'!B:B, 0)))</f>
        <v/>
      </c>
      <c r="O204" s="284" t="str">
        <f t="shared" si="2"/>
        <v/>
      </c>
      <c r="P204" s="285" t="str">
        <f t="array" ref="P204">if(J204=0,"",INDEX('Biaya Gratis Ongkir Xtra'!D:D, MATCH(J204, 'Biaya Gratis Ongkir Xtra'!C:C, 0)))</f>
        <v/>
      </c>
      <c r="Q204" s="286" t="str">
        <f t="shared" si="3"/>
        <v/>
      </c>
      <c r="R204" s="287" t="str">
        <f t="array" ref="R204">if(K204=0,"",INDEX('Biaya Gratis Ongkir Xtra'!$C$7:$C$10, MATCH(K204, 'Biaya Gratis Ongkir Xtra'!$B$7:$B$10, 0)))</f>
        <v/>
      </c>
      <c r="S204" s="288" t="str">
        <f t="shared" si="4"/>
        <v/>
      </c>
      <c r="T204" s="273" t="str">
        <f t="shared" si="13"/>
        <v/>
      </c>
      <c r="U204" s="287" t="str">
        <f t="array" ref="U204">if(C204=0,"",INDEX('Biaya Gratis Ongkir Xtra'!$C$3:$C$4, MATCH(L204, 'Biaya Gratis Ongkir Xtra'!$B$3:$B$4, 0)))</f>
        <v/>
      </c>
      <c r="V204" s="288" t="str">
        <f t="shared" si="6"/>
        <v/>
      </c>
      <c r="W204" s="264"/>
      <c r="X204" s="289" t="str">
        <f t="shared" si="7"/>
        <v/>
      </c>
      <c r="Y204" s="290" t="str">
        <f t="shared" si="8"/>
        <v/>
      </c>
      <c r="Z204" s="291" t="str">
        <f t="shared" si="9"/>
        <v/>
      </c>
      <c r="AA204" s="289" t="str">
        <f t="shared" si="10"/>
        <v/>
      </c>
      <c r="AB204" s="291" t="str">
        <f t="shared" si="11"/>
        <v/>
      </c>
      <c r="AC204" s="292" t="str">
        <f t="shared" si="12"/>
        <v/>
      </c>
      <c r="AD204" s="281"/>
      <c r="AE204" s="22"/>
    </row>
    <row r="205">
      <c r="A205" s="264"/>
      <c r="B205" s="267"/>
      <c r="C205" s="265"/>
      <c r="D205" s="265"/>
      <c r="E205" s="265"/>
      <c r="F205" s="266"/>
      <c r="G205" s="267" t="str">
        <f t="shared" si="1"/>
        <v/>
      </c>
      <c r="H205" s="264"/>
      <c r="I205" s="282"/>
      <c r="J205" s="282"/>
      <c r="K205" s="282"/>
      <c r="L205" s="282"/>
      <c r="M205" s="269"/>
      <c r="N205" s="283" t="str">
        <f t="array" ref="N205">if(C205=0,"",INDEX('Biaya Administrasi'!E:E, MATCH(I205, 'Biaya Administrasi'!B:B, 0)))</f>
        <v/>
      </c>
      <c r="O205" s="284" t="str">
        <f t="shared" si="2"/>
        <v/>
      </c>
      <c r="P205" s="285" t="str">
        <f t="array" ref="P205">if(J205=0,"",INDEX('Biaya Gratis Ongkir Xtra'!D:D, MATCH(J205, 'Biaya Gratis Ongkir Xtra'!C:C, 0)))</f>
        <v/>
      </c>
      <c r="Q205" s="286" t="str">
        <f t="shared" si="3"/>
        <v/>
      </c>
      <c r="R205" s="287" t="str">
        <f t="array" ref="R205">if(K205=0,"",INDEX('Biaya Gratis Ongkir Xtra'!$C$7:$C$10, MATCH(K205, 'Biaya Gratis Ongkir Xtra'!$B$7:$B$10, 0)))</f>
        <v/>
      </c>
      <c r="S205" s="288" t="str">
        <f t="shared" si="4"/>
        <v/>
      </c>
      <c r="T205" s="273" t="str">
        <f t="shared" si="13"/>
        <v/>
      </c>
      <c r="U205" s="287" t="str">
        <f t="array" ref="U205">if(C205=0,"",INDEX('Biaya Gratis Ongkir Xtra'!$C$3:$C$4, MATCH(L205, 'Biaya Gratis Ongkir Xtra'!$B$3:$B$4, 0)))</f>
        <v/>
      </c>
      <c r="V205" s="288" t="str">
        <f t="shared" si="6"/>
        <v/>
      </c>
      <c r="W205" s="264"/>
      <c r="X205" s="289" t="str">
        <f t="shared" si="7"/>
        <v/>
      </c>
      <c r="Y205" s="290" t="str">
        <f t="shared" si="8"/>
        <v/>
      </c>
      <c r="Z205" s="291" t="str">
        <f t="shared" si="9"/>
        <v/>
      </c>
      <c r="AA205" s="289" t="str">
        <f t="shared" si="10"/>
        <v/>
      </c>
      <c r="AB205" s="291" t="str">
        <f t="shared" si="11"/>
        <v/>
      </c>
      <c r="AC205" s="292" t="str">
        <f t="shared" si="12"/>
        <v/>
      </c>
      <c r="AD205" s="281"/>
      <c r="AE205" s="22"/>
    </row>
    <row r="206">
      <c r="A206" s="264"/>
      <c r="B206" s="267"/>
      <c r="C206" s="265"/>
      <c r="D206" s="265"/>
      <c r="E206" s="265"/>
      <c r="F206" s="266"/>
      <c r="G206" s="267" t="str">
        <f t="shared" si="1"/>
        <v/>
      </c>
      <c r="H206" s="264"/>
      <c r="I206" s="282"/>
      <c r="J206" s="282"/>
      <c r="K206" s="282"/>
      <c r="L206" s="282"/>
      <c r="M206" s="269"/>
      <c r="N206" s="283" t="str">
        <f t="array" ref="N206">if(C206=0,"",INDEX('Biaya Administrasi'!E:E, MATCH(I206, 'Biaya Administrasi'!B:B, 0)))</f>
        <v/>
      </c>
      <c r="O206" s="284" t="str">
        <f t="shared" si="2"/>
        <v/>
      </c>
      <c r="P206" s="285" t="str">
        <f t="array" ref="P206">if(J206=0,"",INDEX('Biaya Gratis Ongkir Xtra'!D:D, MATCH(J206, 'Biaya Gratis Ongkir Xtra'!C:C, 0)))</f>
        <v/>
      </c>
      <c r="Q206" s="286" t="str">
        <f t="shared" si="3"/>
        <v/>
      </c>
      <c r="R206" s="287" t="str">
        <f t="array" ref="R206">if(K206=0,"",INDEX('Biaya Gratis Ongkir Xtra'!$C$7:$C$10, MATCH(K206, 'Biaya Gratis Ongkir Xtra'!$B$7:$B$10, 0)))</f>
        <v/>
      </c>
      <c r="S206" s="288" t="str">
        <f t="shared" si="4"/>
        <v/>
      </c>
      <c r="T206" s="273" t="str">
        <f t="shared" si="13"/>
        <v/>
      </c>
      <c r="U206" s="287" t="str">
        <f t="array" ref="U206">if(C206=0,"",INDEX('Biaya Gratis Ongkir Xtra'!$C$3:$C$4, MATCH(L206, 'Biaya Gratis Ongkir Xtra'!$B$3:$B$4, 0)))</f>
        <v/>
      </c>
      <c r="V206" s="288" t="str">
        <f t="shared" si="6"/>
        <v/>
      </c>
      <c r="W206" s="264"/>
      <c r="X206" s="289" t="str">
        <f t="shared" si="7"/>
        <v/>
      </c>
      <c r="Y206" s="290" t="str">
        <f t="shared" si="8"/>
        <v/>
      </c>
      <c r="Z206" s="291" t="str">
        <f t="shared" si="9"/>
        <v/>
      </c>
      <c r="AA206" s="289" t="str">
        <f t="shared" si="10"/>
        <v/>
      </c>
      <c r="AB206" s="291" t="str">
        <f t="shared" si="11"/>
        <v/>
      </c>
      <c r="AC206" s="292" t="str">
        <f t="shared" si="12"/>
        <v/>
      </c>
      <c r="AD206" s="281"/>
      <c r="AE206" s="22"/>
    </row>
    <row r="207">
      <c r="A207" s="264"/>
      <c r="B207" s="267"/>
      <c r="C207" s="265"/>
      <c r="D207" s="265"/>
      <c r="E207" s="265"/>
      <c r="F207" s="266"/>
      <c r="G207" s="267" t="str">
        <f t="shared" si="1"/>
        <v/>
      </c>
      <c r="H207" s="264"/>
      <c r="I207" s="282"/>
      <c r="J207" s="282"/>
      <c r="K207" s="282"/>
      <c r="L207" s="282"/>
      <c r="M207" s="269"/>
      <c r="N207" s="283" t="str">
        <f t="array" ref="N207">if(C207=0,"",INDEX('Biaya Administrasi'!E:E, MATCH(I207, 'Biaya Administrasi'!B:B, 0)))</f>
        <v/>
      </c>
      <c r="O207" s="284" t="str">
        <f t="shared" si="2"/>
        <v/>
      </c>
      <c r="P207" s="285" t="str">
        <f t="array" ref="P207">if(J207=0,"",INDEX('Biaya Gratis Ongkir Xtra'!D:D, MATCH(J207, 'Biaya Gratis Ongkir Xtra'!C:C, 0)))</f>
        <v/>
      </c>
      <c r="Q207" s="286" t="str">
        <f t="shared" si="3"/>
        <v/>
      </c>
      <c r="R207" s="287" t="str">
        <f t="array" ref="R207">if(K207=0,"",INDEX('Biaya Gratis Ongkir Xtra'!$C$7:$C$10, MATCH(K207, 'Biaya Gratis Ongkir Xtra'!$B$7:$B$10, 0)))</f>
        <v/>
      </c>
      <c r="S207" s="288" t="str">
        <f t="shared" si="4"/>
        <v/>
      </c>
      <c r="T207" s="273" t="str">
        <f t="shared" si="13"/>
        <v/>
      </c>
      <c r="U207" s="287" t="str">
        <f t="array" ref="U207">if(C207=0,"",INDEX('Biaya Gratis Ongkir Xtra'!$C$3:$C$4, MATCH(L207, 'Biaya Gratis Ongkir Xtra'!$B$3:$B$4, 0)))</f>
        <v/>
      </c>
      <c r="V207" s="288" t="str">
        <f t="shared" si="6"/>
        <v/>
      </c>
      <c r="W207" s="264"/>
      <c r="X207" s="289" t="str">
        <f t="shared" si="7"/>
        <v/>
      </c>
      <c r="Y207" s="290" t="str">
        <f t="shared" si="8"/>
        <v/>
      </c>
      <c r="Z207" s="291" t="str">
        <f t="shared" si="9"/>
        <v/>
      </c>
      <c r="AA207" s="289" t="str">
        <f t="shared" si="10"/>
        <v/>
      </c>
      <c r="AB207" s="291" t="str">
        <f t="shared" si="11"/>
        <v/>
      </c>
      <c r="AC207" s="292" t="str">
        <f t="shared" si="12"/>
        <v/>
      </c>
      <c r="AD207" s="281"/>
      <c r="AE207" s="22"/>
    </row>
    <row r="208">
      <c r="A208" s="264"/>
      <c r="B208" s="267"/>
      <c r="C208" s="265"/>
      <c r="D208" s="265"/>
      <c r="E208" s="265"/>
      <c r="F208" s="266"/>
      <c r="G208" s="267" t="str">
        <f t="shared" si="1"/>
        <v/>
      </c>
      <c r="H208" s="264"/>
      <c r="I208" s="282"/>
      <c r="J208" s="282"/>
      <c r="K208" s="282"/>
      <c r="L208" s="282"/>
      <c r="M208" s="269"/>
      <c r="N208" s="283" t="str">
        <f t="array" ref="N208">if(C208=0,"",INDEX('Biaya Administrasi'!E:E, MATCH(I208, 'Biaya Administrasi'!B:B, 0)))</f>
        <v/>
      </c>
      <c r="O208" s="284" t="str">
        <f t="shared" si="2"/>
        <v/>
      </c>
      <c r="P208" s="285" t="str">
        <f t="array" ref="P208">if(J208=0,"",INDEX('Biaya Gratis Ongkir Xtra'!D:D, MATCH(J208, 'Biaya Gratis Ongkir Xtra'!C:C, 0)))</f>
        <v/>
      </c>
      <c r="Q208" s="286" t="str">
        <f t="shared" si="3"/>
        <v/>
      </c>
      <c r="R208" s="287" t="str">
        <f t="array" ref="R208">if(K208=0,"",INDEX('Biaya Gratis Ongkir Xtra'!$C$7:$C$10, MATCH(K208, 'Biaya Gratis Ongkir Xtra'!$B$7:$B$10, 0)))</f>
        <v/>
      </c>
      <c r="S208" s="288" t="str">
        <f t="shared" si="4"/>
        <v/>
      </c>
      <c r="T208" s="273" t="str">
        <f t="shared" si="13"/>
        <v/>
      </c>
      <c r="U208" s="287" t="str">
        <f t="array" ref="U208">if(C208=0,"",INDEX('Biaya Gratis Ongkir Xtra'!$C$3:$C$4, MATCH(L208, 'Biaya Gratis Ongkir Xtra'!$B$3:$B$4, 0)))</f>
        <v/>
      </c>
      <c r="V208" s="288" t="str">
        <f t="shared" si="6"/>
        <v/>
      </c>
      <c r="W208" s="264"/>
      <c r="X208" s="289" t="str">
        <f t="shared" si="7"/>
        <v/>
      </c>
      <c r="Y208" s="290" t="str">
        <f t="shared" si="8"/>
        <v/>
      </c>
      <c r="Z208" s="291" t="str">
        <f t="shared" si="9"/>
        <v/>
      </c>
      <c r="AA208" s="289" t="str">
        <f t="shared" si="10"/>
        <v/>
      </c>
      <c r="AB208" s="291" t="str">
        <f t="shared" si="11"/>
        <v/>
      </c>
      <c r="AC208" s="292" t="str">
        <f t="shared" si="12"/>
        <v/>
      </c>
      <c r="AD208" s="281"/>
      <c r="AE208" s="22"/>
    </row>
    <row r="209">
      <c r="A209" s="264"/>
      <c r="B209" s="267"/>
      <c r="C209" s="265"/>
      <c r="D209" s="265"/>
      <c r="E209" s="265"/>
      <c r="F209" s="266"/>
      <c r="G209" s="267" t="str">
        <f t="shared" si="1"/>
        <v/>
      </c>
      <c r="H209" s="264"/>
      <c r="I209" s="282"/>
      <c r="J209" s="282"/>
      <c r="K209" s="282"/>
      <c r="L209" s="282"/>
      <c r="M209" s="269"/>
      <c r="N209" s="283" t="str">
        <f t="array" ref="N209">if(C209=0,"",INDEX('Biaya Administrasi'!E:E, MATCH(I209, 'Biaya Administrasi'!B:B, 0)))</f>
        <v/>
      </c>
      <c r="O209" s="284" t="str">
        <f t="shared" si="2"/>
        <v/>
      </c>
      <c r="P209" s="285" t="str">
        <f t="array" ref="P209">if(J209=0,"",INDEX('Biaya Gratis Ongkir Xtra'!D:D, MATCH(J209, 'Biaya Gratis Ongkir Xtra'!C:C, 0)))</f>
        <v/>
      </c>
      <c r="Q209" s="286" t="str">
        <f t="shared" si="3"/>
        <v/>
      </c>
      <c r="R209" s="287" t="str">
        <f t="array" ref="R209">if(K209=0,"",INDEX('Biaya Gratis Ongkir Xtra'!$C$7:$C$10, MATCH(K209, 'Biaya Gratis Ongkir Xtra'!$B$7:$B$10, 0)))</f>
        <v/>
      </c>
      <c r="S209" s="288" t="str">
        <f t="shared" si="4"/>
        <v/>
      </c>
      <c r="T209" s="273" t="str">
        <f t="shared" si="13"/>
        <v/>
      </c>
      <c r="U209" s="287" t="str">
        <f t="array" ref="U209">if(C209=0,"",INDEX('Biaya Gratis Ongkir Xtra'!$C$3:$C$4, MATCH(L209, 'Biaya Gratis Ongkir Xtra'!$B$3:$B$4, 0)))</f>
        <v/>
      </c>
      <c r="V209" s="288" t="str">
        <f t="shared" si="6"/>
        <v/>
      </c>
      <c r="W209" s="264"/>
      <c r="X209" s="289" t="str">
        <f t="shared" si="7"/>
        <v/>
      </c>
      <c r="Y209" s="290" t="str">
        <f t="shared" si="8"/>
        <v/>
      </c>
      <c r="Z209" s="291" t="str">
        <f t="shared" si="9"/>
        <v/>
      </c>
      <c r="AA209" s="289" t="str">
        <f t="shared" si="10"/>
        <v/>
      </c>
      <c r="AB209" s="291" t="str">
        <f t="shared" si="11"/>
        <v/>
      </c>
      <c r="AC209" s="292" t="str">
        <f t="shared" si="12"/>
        <v/>
      </c>
      <c r="AD209" s="281"/>
      <c r="AE209" s="22"/>
    </row>
    <row r="210">
      <c r="A210" s="264"/>
      <c r="B210" s="267"/>
      <c r="C210" s="265"/>
      <c r="D210" s="265"/>
      <c r="E210" s="265"/>
      <c r="F210" s="266"/>
      <c r="G210" s="267" t="str">
        <f t="shared" si="1"/>
        <v/>
      </c>
      <c r="H210" s="264"/>
      <c r="I210" s="282"/>
      <c r="J210" s="282"/>
      <c r="K210" s="282"/>
      <c r="L210" s="282"/>
      <c r="M210" s="269"/>
      <c r="N210" s="283" t="str">
        <f t="array" ref="N210">if(C210=0,"",INDEX('Biaya Administrasi'!E:E, MATCH(I210, 'Biaya Administrasi'!B:B, 0)))</f>
        <v/>
      </c>
      <c r="O210" s="284" t="str">
        <f t="shared" si="2"/>
        <v/>
      </c>
      <c r="P210" s="285" t="str">
        <f t="array" ref="P210">if(J210=0,"",INDEX('Biaya Gratis Ongkir Xtra'!D:D, MATCH(J210, 'Biaya Gratis Ongkir Xtra'!C:C, 0)))</f>
        <v/>
      </c>
      <c r="Q210" s="286" t="str">
        <f t="shared" si="3"/>
        <v/>
      </c>
      <c r="R210" s="287" t="str">
        <f t="array" ref="R210">if(K210=0,"",INDEX('Biaya Gratis Ongkir Xtra'!$C$7:$C$10, MATCH(K210, 'Biaya Gratis Ongkir Xtra'!$B$7:$B$10, 0)))</f>
        <v/>
      </c>
      <c r="S210" s="288" t="str">
        <f t="shared" si="4"/>
        <v/>
      </c>
      <c r="T210" s="273" t="str">
        <f t="shared" si="13"/>
        <v/>
      </c>
      <c r="U210" s="287" t="str">
        <f t="array" ref="U210">if(C210=0,"",INDEX('Biaya Gratis Ongkir Xtra'!$C$3:$C$4, MATCH(L210, 'Biaya Gratis Ongkir Xtra'!$B$3:$B$4, 0)))</f>
        <v/>
      </c>
      <c r="V210" s="288" t="str">
        <f t="shared" si="6"/>
        <v/>
      </c>
      <c r="W210" s="264"/>
      <c r="X210" s="289" t="str">
        <f t="shared" si="7"/>
        <v/>
      </c>
      <c r="Y210" s="290" t="str">
        <f t="shared" si="8"/>
        <v/>
      </c>
      <c r="Z210" s="291" t="str">
        <f t="shared" si="9"/>
        <v/>
      </c>
      <c r="AA210" s="289" t="str">
        <f t="shared" si="10"/>
        <v/>
      </c>
      <c r="AB210" s="291" t="str">
        <f t="shared" si="11"/>
        <v/>
      </c>
      <c r="AC210" s="292" t="str">
        <f t="shared" si="12"/>
        <v/>
      </c>
      <c r="AD210" s="281"/>
      <c r="AE210" s="22"/>
    </row>
    <row r="211">
      <c r="A211" s="264"/>
      <c r="B211" s="267"/>
      <c r="C211" s="265"/>
      <c r="D211" s="265"/>
      <c r="E211" s="265"/>
      <c r="F211" s="266"/>
      <c r="G211" s="267" t="str">
        <f t="shared" si="1"/>
        <v/>
      </c>
      <c r="H211" s="264"/>
      <c r="I211" s="282"/>
      <c r="J211" s="282"/>
      <c r="K211" s="282"/>
      <c r="L211" s="282"/>
      <c r="M211" s="269"/>
      <c r="N211" s="283" t="str">
        <f t="array" ref="N211">if(C211=0,"",INDEX('Biaya Administrasi'!E:E, MATCH(I211, 'Biaya Administrasi'!B:B, 0)))</f>
        <v/>
      </c>
      <c r="O211" s="284" t="str">
        <f t="shared" si="2"/>
        <v/>
      </c>
      <c r="P211" s="285" t="str">
        <f t="array" ref="P211">if(J211=0,"",INDEX('Biaya Gratis Ongkir Xtra'!D:D, MATCH(J211, 'Biaya Gratis Ongkir Xtra'!C:C, 0)))</f>
        <v/>
      </c>
      <c r="Q211" s="286" t="str">
        <f t="shared" si="3"/>
        <v/>
      </c>
      <c r="R211" s="287" t="str">
        <f t="array" ref="R211">if(K211=0,"",INDEX('Biaya Gratis Ongkir Xtra'!$C$7:$C$10, MATCH(K211, 'Biaya Gratis Ongkir Xtra'!$B$7:$B$10, 0)))</f>
        <v/>
      </c>
      <c r="S211" s="288" t="str">
        <f t="shared" si="4"/>
        <v/>
      </c>
      <c r="T211" s="273" t="str">
        <f t="shared" si="13"/>
        <v/>
      </c>
      <c r="U211" s="287" t="str">
        <f t="array" ref="U211">if(C211=0,"",INDEX('Biaya Gratis Ongkir Xtra'!$C$3:$C$4, MATCH(L211, 'Biaya Gratis Ongkir Xtra'!$B$3:$B$4, 0)))</f>
        <v/>
      </c>
      <c r="V211" s="288" t="str">
        <f t="shared" si="6"/>
        <v/>
      </c>
      <c r="W211" s="264"/>
      <c r="X211" s="289" t="str">
        <f t="shared" si="7"/>
        <v/>
      </c>
      <c r="Y211" s="290" t="str">
        <f t="shared" si="8"/>
        <v/>
      </c>
      <c r="Z211" s="291" t="str">
        <f t="shared" si="9"/>
        <v/>
      </c>
      <c r="AA211" s="289" t="str">
        <f t="shared" si="10"/>
        <v/>
      </c>
      <c r="AB211" s="291" t="str">
        <f t="shared" si="11"/>
        <v/>
      </c>
      <c r="AC211" s="292" t="str">
        <f t="shared" si="12"/>
        <v/>
      </c>
      <c r="AD211" s="281"/>
      <c r="AE211" s="22"/>
    </row>
    <row r="212">
      <c r="A212" s="264"/>
      <c r="B212" s="267"/>
      <c r="C212" s="265"/>
      <c r="D212" s="265"/>
      <c r="E212" s="265"/>
      <c r="F212" s="266"/>
      <c r="G212" s="267" t="str">
        <f t="shared" si="1"/>
        <v/>
      </c>
      <c r="H212" s="264"/>
      <c r="I212" s="282"/>
      <c r="J212" s="282"/>
      <c r="K212" s="282"/>
      <c r="L212" s="282"/>
      <c r="M212" s="269"/>
      <c r="N212" s="283" t="str">
        <f t="array" ref="N212">if(C212=0,"",INDEX('Biaya Administrasi'!E:E, MATCH(I212, 'Biaya Administrasi'!B:B, 0)))</f>
        <v/>
      </c>
      <c r="O212" s="284" t="str">
        <f t="shared" si="2"/>
        <v/>
      </c>
      <c r="P212" s="285" t="str">
        <f t="array" ref="P212">if(J212=0,"",INDEX('Biaya Gratis Ongkir Xtra'!D:D, MATCH(J212, 'Biaya Gratis Ongkir Xtra'!C:C, 0)))</f>
        <v/>
      </c>
      <c r="Q212" s="286" t="str">
        <f t="shared" si="3"/>
        <v/>
      </c>
      <c r="R212" s="287" t="str">
        <f t="array" ref="R212">if(K212=0,"",INDEX('Biaya Gratis Ongkir Xtra'!$C$7:$C$10, MATCH(K212, 'Biaya Gratis Ongkir Xtra'!$B$7:$B$10, 0)))</f>
        <v/>
      </c>
      <c r="S212" s="288" t="str">
        <f t="shared" si="4"/>
        <v/>
      </c>
      <c r="T212" s="273" t="str">
        <f t="shared" si="13"/>
        <v/>
      </c>
      <c r="U212" s="287" t="str">
        <f t="array" ref="U212">if(C212=0,"",INDEX('Biaya Gratis Ongkir Xtra'!$C$3:$C$4, MATCH(L212, 'Biaya Gratis Ongkir Xtra'!$B$3:$B$4, 0)))</f>
        <v/>
      </c>
      <c r="V212" s="288" t="str">
        <f t="shared" si="6"/>
        <v/>
      </c>
      <c r="W212" s="264"/>
      <c r="X212" s="289" t="str">
        <f t="shared" si="7"/>
        <v/>
      </c>
      <c r="Y212" s="290" t="str">
        <f t="shared" si="8"/>
        <v/>
      </c>
      <c r="Z212" s="291" t="str">
        <f t="shared" si="9"/>
        <v/>
      </c>
      <c r="AA212" s="289" t="str">
        <f t="shared" si="10"/>
        <v/>
      </c>
      <c r="AB212" s="291" t="str">
        <f t="shared" si="11"/>
        <v/>
      </c>
      <c r="AC212" s="292" t="str">
        <f t="shared" si="12"/>
        <v/>
      </c>
      <c r="AD212" s="281"/>
      <c r="AE212" s="22"/>
    </row>
    <row r="213">
      <c r="A213" s="264"/>
      <c r="B213" s="267"/>
      <c r="C213" s="265"/>
      <c r="D213" s="265"/>
      <c r="E213" s="265"/>
      <c r="F213" s="266"/>
      <c r="G213" s="267" t="str">
        <f t="shared" si="1"/>
        <v/>
      </c>
      <c r="H213" s="264"/>
      <c r="I213" s="282"/>
      <c r="J213" s="282"/>
      <c r="K213" s="282"/>
      <c r="L213" s="282"/>
      <c r="M213" s="269"/>
      <c r="N213" s="283" t="str">
        <f t="array" ref="N213">if(C213=0,"",INDEX('Biaya Administrasi'!E:E, MATCH(I213, 'Biaya Administrasi'!B:B, 0)))</f>
        <v/>
      </c>
      <c r="O213" s="284" t="str">
        <f t="shared" si="2"/>
        <v/>
      </c>
      <c r="P213" s="285" t="str">
        <f t="array" ref="P213">if(J213=0,"",INDEX('Biaya Gratis Ongkir Xtra'!D:D, MATCH(J213, 'Biaya Gratis Ongkir Xtra'!C:C, 0)))</f>
        <v/>
      </c>
      <c r="Q213" s="286" t="str">
        <f t="shared" si="3"/>
        <v/>
      </c>
      <c r="R213" s="287" t="str">
        <f t="array" ref="R213">if(K213=0,"",INDEX('Biaya Gratis Ongkir Xtra'!$C$7:$C$10, MATCH(K213, 'Biaya Gratis Ongkir Xtra'!$B$7:$B$10, 0)))</f>
        <v/>
      </c>
      <c r="S213" s="288" t="str">
        <f t="shared" si="4"/>
        <v/>
      </c>
      <c r="T213" s="273" t="str">
        <f t="shared" si="13"/>
        <v/>
      </c>
      <c r="U213" s="287" t="str">
        <f t="array" ref="U213">if(C213=0,"",INDEX('Biaya Gratis Ongkir Xtra'!$C$3:$C$4, MATCH(L213, 'Biaya Gratis Ongkir Xtra'!$B$3:$B$4, 0)))</f>
        <v/>
      </c>
      <c r="V213" s="288" t="str">
        <f t="shared" si="6"/>
        <v/>
      </c>
      <c r="W213" s="264"/>
      <c r="X213" s="289" t="str">
        <f t="shared" si="7"/>
        <v/>
      </c>
      <c r="Y213" s="290" t="str">
        <f t="shared" si="8"/>
        <v/>
      </c>
      <c r="Z213" s="291" t="str">
        <f t="shared" si="9"/>
        <v/>
      </c>
      <c r="AA213" s="289" t="str">
        <f t="shared" si="10"/>
        <v/>
      </c>
      <c r="AB213" s="291" t="str">
        <f t="shared" si="11"/>
        <v/>
      </c>
      <c r="AC213" s="292" t="str">
        <f t="shared" si="12"/>
        <v/>
      </c>
      <c r="AD213" s="281"/>
      <c r="AE213" s="22"/>
    </row>
    <row r="214">
      <c r="A214" s="264"/>
      <c r="B214" s="267"/>
      <c r="C214" s="265"/>
      <c r="D214" s="265"/>
      <c r="E214" s="265"/>
      <c r="F214" s="266"/>
      <c r="G214" s="267" t="str">
        <f t="shared" si="1"/>
        <v/>
      </c>
      <c r="H214" s="264"/>
      <c r="I214" s="282"/>
      <c r="J214" s="282"/>
      <c r="K214" s="282"/>
      <c r="L214" s="282"/>
      <c r="M214" s="269"/>
      <c r="N214" s="283" t="str">
        <f t="array" ref="N214">if(C214=0,"",INDEX('Biaya Administrasi'!E:E, MATCH(I214, 'Biaya Administrasi'!B:B, 0)))</f>
        <v/>
      </c>
      <c r="O214" s="284" t="str">
        <f t="shared" si="2"/>
        <v/>
      </c>
      <c r="P214" s="285" t="str">
        <f t="array" ref="P214">if(J214=0,"",INDEX('Biaya Gratis Ongkir Xtra'!D:D, MATCH(J214, 'Biaya Gratis Ongkir Xtra'!C:C, 0)))</f>
        <v/>
      </c>
      <c r="Q214" s="286" t="str">
        <f t="shared" si="3"/>
        <v/>
      </c>
      <c r="R214" s="287" t="str">
        <f t="array" ref="R214">if(K214=0,"",INDEX('Biaya Gratis Ongkir Xtra'!$C$7:$C$10, MATCH(K214, 'Biaya Gratis Ongkir Xtra'!$B$7:$B$10, 0)))</f>
        <v/>
      </c>
      <c r="S214" s="288" t="str">
        <f t="shared" si="4"/>
        <v/>
      </c>
      <c r="T214" s="273" t="str">
        <f t="shared" si="13"/>
        <v/>
      </c>
      <c r="U214" s="287" t="str">
        <f t="array" ref="U214">if(C214=0,"",INDEX('Biaya Gratis Ongkir Xtra'!$C$3:$C$4, MATCH(L214, 'Biaya Gratis Ongkir Xtra'!$B$3:$B$4, 0)))</f>
        <v/>
      </c>
      <c r="V214" s="288" t="str">
        <f t="shared" si="6"/>
        <v/>
      </c>
      <c r="W214" s="264"/>
      <c r="X214" s="289" t="str">
        <f t="shared" si="7"/>
        <v/>
      </c>
      <c r="Y214" s="290" t="str">
        <f t="shared" si="8"/>
        <v/>
      </c>
      <c r="Z214" s="291" t="str">
        <f t="shared" si="9"/>
        <v/>
      </c>
      <c r="AA214" s="289" t="str">
        <f t="shared" si="10"/>
        <v/>
      </c>
      <c r="AB214" s="291" t="str">
        <f t="shared" si="11"/>
        <v/>
      </c>
      <c r="AC214" s="292" t="str">
        <f t="shared" si="12"/>
        <v/>
      </c>
      <c r="AD214" s="281"/>
      <c r="AE214" s="22"/>
    </row>
    <row r="215">
      <c r="A215" s="264"/>
      <c r="B215" s="267"/>
      <c r="C215" s="265"/>
      <c r="D215" s="265"/>
      <c r="E215" s="265"/>
      <c r="F215" s="266"/>
      <c r="G215" s="267" t="str">
        <f t="shared" si="1"/>
        <v/>
      </c>
      <c r="H215" s="264"/>
      <c r="I215" s="282"/>
      <c r="J215" s="282"/>
      <c r="K215" s="282"/>
      <c r="L215" s="282"/>
      <c r="M215" s="269"/>
      <c r="N215" s="283" t="str">
        <f t="array" ref="N215">if(C215=0,"",INDEX('Biaya Administrasi'!E:E, MATCH(I215, 'Biaya Administrasi'!B:B, 0)))</f>
        <v/>
      </c>
      <c r="O215" s="284" t="str">
        <f t="shared" si="2"/>
        <v/>
      </c>
      <c r="P215" s="285" t="str">
        <f t="array" ref="P215">if(J215=0,"",INDEX('Biaya Gratis Ongkir Xtra'!D:D, MATCH(J215, 'Biaya Gratis Ongkir Xtra'!C:C, 0)))</f>
        <v/>
      </c>
      <c r="Q215" s="286" t="str">
        <f t="shared" si="3"/>
        <v/>
      </c>
      <c r="R215" s="287" t="str">
        <f t="array" ref="R215">if(K215=0,"",INDEX('Biaya Gratis Ongkir Xtra'!$C$7:$C$10, MATCH(K215, 'Biaya Gratis Ongkir Xtra'!$B$7:$B$10, 0)))</f>
        <v/>
      </c>
      <c r="S215" s="288" t="str">
        <f t="shared" si="4"/>
        <v/>
      </c>
      <c r="T215" s="273" t="str">
        <f t="shared" si="13"/>
        <v/>
      </c>
      <c r="U215" s="287" t="str">
        <f t="array" ref="U215">if(C215=0,"",INDEX('Biaya Gratis Ongkir Xtra'!$C$3:$C$4, MATCH(L215, 'Biaya Gratis Ongkir Xtra'!$B$3:$B$4, 0)))</f>
        <v/>
      </c>
      <c r="V215" s="288" t="str">
        <f t="shared" si="6"/>
        <v/>
      </c>
      <c r="W215" s="264"/>
      <c r="X215" s="289" t="str">
        <f t="shared" si="7"/>
        <v/>
      </c>
      <c r="Y215" s="290" t="str">
        <f t="shared" si="8"/>
        <v/>
      </c>
      <c r="Z215" s="291" t="str">
        <f t="shared" si="9"/>
        <v/>
      </c>
      <c r="AA215" s="289" t="str">
        <f t="shared" si="10"/>
        <v/>
      </c>
      <c r="AB215" s="291" t="str">
        <f t="shared" si="11"/>
        <v/>
      </c>
      <c r="AC215" s="292" t="str">
        <f t="shared" si="12"/>
        <v/>
      </c>
      <c r="AD215" s="281"/>
      <c r="AE215" s="22"/>
    </row>
    <row r="216">
      <c r="A216" s="264"/>
      <c r="B216" s="267"/>
      <c r="C216" s="265"/>
      <c r="D216" s="265"/>
      <c r="E216" s="265"/>
      <c r="F216" s="266"/>
      <c r="G216" s="267" t="str">
        <f t="shared" si="1"/>
        <v/>
      </c>
      <c r="H216" s="264"/>
      <c r="I216" s="282"/>
      <c r="J216" s="282"/>
      <c r="K216" s="282"/>
      <c r="L216" s="282"/>
      <c r="M216" s="269"/>
      <c r="N216" s="283" t="str">
        <f t="array" ref="N216">if(C216=0,"",INDEX('Biaya Administrasi'!E:E, MATCH(I216, 'Biaya Administrasi'!B:B, 0)))</f>
        <v/>
      </c>
      <c r="O216" s="284" t="str">
        <f t="shared" si="2"/>
        <v/>
      </c>
      <c r="P216" s="285" t="str">
        <f t="array" ref="P216">if(J216=0,"",INDEX('Biaya Gratis Ongkir Xtra'!D:D, MATCH(J216, 'Biaya Gratis Ongkir Xtra'!C:C, 0)))</f>
        <v/>
      </c>
      <c r="Q216" s="286" t="str">
        <f t="shared" si="3"/>
        <v/>
      </c>
      <c r="R216" s="287" t="str">
        <f t="array" ref="R216">if(K216=0,"",INDEX('Biaya Gratis Ongkir Xtra'!$C$7:$C$10, MATCH(K216, 'Biaya Gratis Ongkir Xtra'!$B$7:$B$10, 0)))</f>
        <v/>
      </c>
      <c r="S216" s="288" t="str">
        <f t="shared" si="4"/>
        <v/>
      </c>
      <c r="T216" s="273" t="str">
        <f t="shared" si="13"/>
        <v/>
      </c>
      <c r="U216" s="287" t="str">
        <f t="array" ref="U216">if(C216=0,"",INDEX('Biaya Gratis Ongkir Xtra'!$C$3:$C$4, MATCH(L216, 'Biaya Gratis Ongkir Xtra'!$B$3:$B$4, 0)))</f>
        <v/>
      </c>
      <c r="V216" s="288" t="str">
        <f t="shared" si="6"/>
        <v/>
      </c>
      <c r="W216" s="264"/>
      <c r="X216" s="289" t="str">
        <f t="shared" si="7"/>
        <v/>
      </c>
      <c r="Y216" s="290" t="str">
        <f t="shared" si="8"/>
        <v/>
      </c>
      <c r="Z216" s="291" t="str">
        <f t="shared" si="9"/>
        <v/>
      </c>
      <c r="AA216" s="289" t="str">
        <f t="shared" si="10"/>
        <v/>
      </c>
      <c r="AB216" s="291" t="str">
        <f t="shared" si="11"/>
        <v/>
      </c>
      <c r="AC216" s="292" t="str">
        <f t="shared" si="12"/>
        <v/>
      </c>
      <c r="AD216" s="281"/>
      <c r="AE216" s="22"/>
    </row>
    <row r="217">
      <c r="A217" s="264"/>
      <c r="B217" s="267"/>
      <c r="C217" s="265"/>
      <c r="D217" s="265"/>
      <c r="E217" s="265"/>
      <c r="F217" s="266"/>
      <c r="G217" s="267" t="str">
        <f t="shared" si="1"/>
        <v/>
      </c>
      <c r="H217" s="264"/>
      <c r="I217" s="282"/>
      <c r="J217" s="282"/>
      <c r="K217" s="282"/>
      <c r="L217" s="282"/>
      <c r="M217" s="269"/>
      <c r="N217" s="283" t="str">
        <f t="array" ref="N217">if(C217=0,"",INDEX('Biaya Administrasi'!E:E, MATCH(I217, 'Biaya Administrasi'!B:B, 0)))</f>
        <v/>
      </c>
      <c r="O217" s="284" t="str">
        <f t="shared" si="2"/>
        <v/>
      </c>
      <c r="P217" s="285" t="str">
        <f t="array" ref="P217">if(J217=0,"",INDEX('Biaya Gratis Ongkir Xtra'!D:D, MATCH(J217, 'Biaya Gratis Ongkir Xtra'!C:C, 0)))</f>
        <v/>
      </c>
      <c r="Q217" s="286" t="str">
        <f t="shared" si="3"/>
        <v/>
      </c>
      <c r="R217" s="287" t="str">
        <f t="array" ref="R217">if(K217=0,"",INDEX('Biaya Gratis Ongkir Xtra'!$C$7:$C$10, MATCH(K217, 'Biaya Gratis Ongkir Xtra'!$B$7:$B$10, 0)))</f>
        <v/>
      </c>
      <c r="S217" s="288" t="str">
        <f t="shared" si="4"/>
        <v/>
      </c>
      <c r="T217" s="273" t="str">
        <f t="shared" si="13"/>
        <v/>
      </c>
      <c r="U217" s="287" t="str">
        <f t="array" ref="U217">if(C217=0,"",INDEX('Biaya Gratis Ongkir Xtra'!$C$3:$C$4, MATCH(L217, 'Biaya Gratis Ongkir Xtra'!$B$3:$B$4, 0)))</f>
        <v/>
      </c>
      <c r="V217" s="288" t="str">
        <f t="shared" si="6"/>
        <v/>
      </c>
      <c r="W217" s="264"/>
      <c r="X217" s="289" t="str">
        <f t="shared" si="7"/>
        <v/>
      </c>
      <c r="Y217" s="290" t="str">
        <f t="shared" si="8"/>
        <v/>
      </c>
      <c r="Z217" s="291" t="str">
        <f t="shared" si="9"/>
        <v/>
      </c>
      <c r="AA217" s="289" t="str">
        <f t="shared" si="10"/>
        <v/>
      </c>
      <c r="AB217" s="291" t="str">
        <f t="shared" si="11"/>
        <v/>
      </c>
      <c r="AC217" s="292" t="str">
        <f t="shared" si="12"/>
        <v/>
      </c>
      <c r="AD217" s="281"/>
      <c r="AE217" s="22"/>
    </row>
    <row r="218">
      <c r="A218" s="264"/>
      <c r="B218" s="267"/>
      <c r="C218" s="265"/>
      <c r="D218" s="265"/>
      <c r="E218" s="265"/>
      <c r="F218" s="266"/>
      <c r="G218" s="267" t="str">
        <f t="shared" si="1"/>
        <v/>
      </c>
      <c r="H218" s="264"/>
      <c r="I218" s="282"/>
      <c r="J218" s="282"/>
      <c r="K218" s="282"/>
      <c r="L218" s="282"/>
      <c r="M218" s="269"/>
      <c r="N218" s="283" t="str">
        <f t="array" ref="N218">if(C218=0,"",INDEX('Biaya Administrasi'!E:E, MATCH(I218, 'Biaya Administrasi'!B:B, 0)))</f>
        <v/>
      </c>
      <c r="O218" s="284" t="str">
        <f t="shared" si="2"/>
        <v/>
      </c>
      <c r="P218" s="285" t="str">
        <f t="array" ref="P218">if(J218=0,"",INDEX('Biaya Gratis Ongkir Xtra'!D:D, MATCH(J218, 'Biaya Gratis Ongkir Xtra'!C:C, 0)))</f>
        <v/>
      </c>
      <c r="Q218" s="286" t="str">
        <f t="shared" si="3"/>
        <v/>
      </c>
      <c r="R218" s="287" t="str">
        <f t="array" ref="R218">if(K218=0,"",INDEX('Biaya Gratis Ongkir Xtra'!$C$7:$C$10, MATCH(K218, 'Biaya Gratis Ongkir Xtra'!$B$7:$B$10, 0)))</f>
        <v/>
      </c>
      <c r="S218" s="288" t="str">
        <f t="shared" si="4"/>
        <v/>
      </c>
      <c r="T218" s="273" t="str">
        <f t="shared" si="13"/>
        <v/>
      </c>
      <c r="U218" s="287" t="str">
        <f t="array" ref="U218">if(C218=0,"",INDEX('Biaya Gratis Ongkir Xtra'!$C$3:$C$4, MATCH(L218, 'Biaya Gratis Ongkir Xtra'!$B$3:$B$4, 0)))</f>
        <v/>
      </c>
      <c r="V218" s="288" t="str">
        <f t="shared" si="6"/>
        <v/>
      </c>
      <c r="W218" s="264"/>
      <c r="X218" s="289" t="str">
        <f t="shared" si="7"/>
        <v/>
      </c>
      <c r="Y218" s="290" t="str">
        <f t="shared" si="8"/>
        <v/>
      </c>
      <c r="Z218" s="291" t="str">
        <f t="shared" si="9"/>
        <v/>
      </c>
      <c r="AA218" s="289" t="str">
        <f t="shared" si="10"/>
        <v/>
      </c>
      <c r="AB218" s="291" t="str">
        <f t="shared" si="11"/>
        <v/>
      </c>
      <c r="AC218" s="292" t="str">
        <f t="shared" si="12"/>
        <v/>
      </c>
      <c r="AD218" s="281"/>
      <c r="AE218" s="22"/>
    </row>
    <row r="219">
      <c r="A219" s="264"/>
      <c r="B219" s="267"/>
      <c r="C219" s="265"/>
      <c r="D219" s="265"/>
      <c r="E219" s="265"/>
      <c r="F219" s="266"/>
      <c r="G219" s="267" t="str">
        <f t="shared" si="1"/>
        <v/>
      </c>
      <c r="H219" s="264"/>
      <c r="I219" s="282"/>
      <c r="J219" s="282"/>
      <c r="K219" s="282"/>
      <c r="L219" s="282"/>
      <c r="M219" s="269"/>
      <c r="N219" s="283" t="str">
        <f t="array" ref="N219">if(C219=0,"",INDEX('Biaya Administrasi'!E:E, MATCH(I219, 'Biaya Administrasi'!B:B, 0)))</f>
        <v/>
      </c>
      <c r="O219" s="284" t="str">
        <f t="shared" si="2"/>
        <v/>
      </c>
      <c r="P219" s="285" t="str">
        <f t="array" ref="P219">if(J219=0,"",INDEX('Biaya Gratis Ongkir Xtra'!D:D, MATCH(J219, 'Biaya Gratis Ongkir Xtra'!C:C, 0)))</f>
        <v/>
      </c>
      <c r="Q219" s="286" t="str">
        <f t="shared" si="3"/>
        <v/>
      </c>
      <c r="R219" s="287" t="str">
        <f t="array" ref="R219">if(K219=0,"",INDEX('Biaya Gratis Ongkir Xtra'!$C$7:$C$10, MATCH(K219, 'Biaya Gratis Ongkir Xtra'!$B$7:$B$10, 0)))</f>
        <v/>
      </c>
      <c r="S219" s="288" t="str">
        <f t="shared" si="4"/>
        <v/>
      </c>
      <c r="T219" s="273" t="str">
        <f t="shared" si="13"/>
        <v/>
      </c>
      <c r="U219" s="287" t="str">
        <f t="array" ref="U219">if(C219=0,"",INDEX('Biaya Gratis Ongkir Xtra'!$C$3:$C$4, MATCH(L219, 'Biaya Gratis Ongkir Xtra'!$B$3:$B$4, 0)))</f>
        <v/>
      </c>
      <c r="V219" s="288" t="str">
        <f t="shared" si="6"/>
        <v/>
      </c>
      <c r="W219" s="264"/>
      <c r="X219" s="289" t="str">
        <f t="shared" si="7"/>
        <v/>
      </c>
      <c r="Y219" s="290" t="str">
        <f t="shared" si="8"/>
        <v/>
      </c>
      <c r="Z219" s="291" t="str">
        <f t="shared" si="9"/>
        <v/>
      </c>
      <c r="AA219" s="289" t="str">
        <f t="shared" si="10"/>
        <v/>
      </c>
      <c r="AB219" s="291" t="str">
        <f t="shared" si="11"/>
        <v/>
      </c>
      <c r="AC219" s="292" t="str">
        <f t="shared" si="12"/>
        <v/>
      </c>
      <c r="AD219" s="281"/>
      <c r="AE219" s="22"/>
    </row>
    <row r="220">
      <c r="A220" s="264"/>
      <c r="B220" s="267"/>
      <c r="C220" s="265"/>
      <c r="D220" s="265"/>
      <c r="E220" s="265"/>
      <c r="F220" s="266"/>
      <c r="G220" s="267" t="str">
        <f t="shared" si="1"/>
        <v/>
      </c>
      <c r="H220" s="264"/>
      <c r="I220" s="282"/>
      <c r="J220" s="282"/>
      <c r="K220" s="282"/>
      <c r="L220" s="282"/>
      <c r="M220" s="269"/>
      <c r="N220" s="283" t="str">
        <f t="array" ref="N220">if(C220=0,"",INDEX('Biaya Administrasi'!E:E, MATCH(I220, 'Biaya Administrasi'!B:B, 0)))</f>
        <v/>
      </c>
      <c r="O220" s="284" t="str">
        <f t="shared" si="2"/>
        <v/>
      </c>
      <c r="P220" s="285" t="str">
        <f t="array" ref="P220">if(J220=0,"",INDEX('Biaya Gratis Ongkir Xtra'!D:D, MATCH(J220, 'Biaya Gratis Ongkir Xtra'!C:C, 0)))</f>
        <v/>
      </c>
      <c r="Q220" s="286" t="str">
        <f t="shared" si="3"/>
        <v/>
      </c>
      <c r="R220" s="287" t="str">
        <f t="array" ref="R220">if(K220=0,"",INDEX('Biaya Gratis Ongkir Xtra'!$C$7:$C$10, MATCH(K220, 'Biaya Gratis Ongkir Xtra'!$B$7:$B$10, 0)))</f>
        <v/>
      </c>
      <c r="S220" s="288" t="str">
        <f t="shared" si="4"/>
        <v/>
      </c>
      <c r="T220" s="273" t="str">
        <f t="shared" si="13"/>
        <v/>
      </c>
      <c r="U220" s="287" t="str">
        <f t="array" ref="U220">if(C220=0,"",INDEX('Biaya Gratis Ongkir Xtra'!$C$3:$C$4, MATCH(L220, 'Biaya Gratis Ongkir Xtra'!$B$3:$B$4, 0)))</f>
        <v/>
      </c>
      <c r="V220" s="288" t="str">
        <f t="shared" si="6"/>
        <v/>
      </c>
      <c r="W220" s="264"/>
      <c r="X220" s="289" t="str">
        <f t="shared" si="7"/>
        <v/>
      </c>
      <c r="Y220" s="290" t="str">
        <f t="shared" si="8"/>
        <v/>
      </c>
      <c r="Z220" s="291" t="str">
        <f t="shared" si="9"/>
        <v/>
      </c>
      <c r="AA220" s="289" t="str">
        <f t="shared" si="10"/>
        <v/>
      </c>
      <c r="AB220" s="291" t="str">
        <f t="shared" si="11"/>
        <v/>
      </c>
      <c r="AC220" s="292" t="str">
        <f t="shared" si="12"/>
        <v/>
      </c>
      <c r="AD220" s="281"/>
      <c r="AE220" s="22"/>
    </row>
    <row r="221">
      <c r="A221" s="264"/>
      <c r="B221" s="267"/>
      <c r="C221" s="265"/>
      <c r="D221" s="265"/>
      <c r="E221" s="265"/>
      <c r="F221" s="266"/>
      <c r="G221" s="267" t="str">
        <f t="shared" si="1"/>
        <v/>
      </c>
      <c r="H221" s="264"/>
      <c r="I221" s="282"/>
      <c r="J221" s="282"/>
      <c r="K221" s="282"/>
      <c r="L221" s="282"/>
      <c r="M221" s="269"/>
      <c r="N221" s="283" t="str">
        <f t="array" ref="N221">if(C221=0,"",INDEX('Biaya Administrasi'!E:E, MATCH(I221, 'Biaya Administrasi'!B:B, 0)))</f>
        <v/>
      </c>
      <c r="O221" s="284" t="str">
        <f t="shared" si="2"/>
        <v/>
      </c>
      <c r="P221" s="285" t="str">
        <f t="array" ref="P221">if(J221=0,"",INDEX('Biaya Gratis Ongkir Xtra'!D:D, MATCH(J221, 'Biaya Gratis Ongkir Xtra'!C:C, 0)))</f>
        <v/>
      </c>
      <c r="Q221" s="286" t="str">
        <f t="shared" si="3"/>
        <v/>
      </c>
      <c r="R221" s="287" t="str">
        <f t="array" ref="R221">if(K221=0,"",INDEX('Biaya Gratis Ongkir Xtra'!$C$7:$C$10, MATCH(K221, 'Biaya Gratis Ongkir Xtra'!$B$7:$B$10, 0)))</f>
        <v/>
      </c>
      <c r="S221" s="288" t="str">
        <f t="shared" si="4"/>
        <v/>
      </c>
      <c r="T221" s="273" t="str">
        <f t="shared" si="13"/>
        <v/>
      </c>
      <c r="U221" s="287" t="str">
        <f t="array" ref="U221">if(C221=0,"",INDEX('Biaya Gratis Ongkir Xtra'!$C$3:$C$4, MATCH(L221, 'Biaya Gratis Ongkir Xtra'!$B$3:$B$4, 0)))</f>
        <v/>
      </c>
      <c r="V221" s="288" t="str">
        <f t="shared" si="6"/>
        <v/>
      </c>
      <c r="W221" s="264"/>
      <c r="X221" s="289" t="str">
        <f t="shared" si="7"/>
        <v/>
      </c>
      <c r="Y221" s="290" t="str">
        <f t="shared" si="8"/>
        <v/>
      </c>
      <c r="Z221" s="291" t="str">
        <f t="shared" si="9"/>
        <v/>
      </c>
      <c r="AA221" s="289" t="str">
        <f t="shared" si="10"/>
        <v/>
      </c>
      <c r="AB221" s="291" t="str">
        <f t="shared" si="11"/>
        <v/>
      </c>
      <c r="AC221" s="292" t="str">
        <f t="shared" si="12"/>
        <v/>
      </c>
      <c r="AD221" s="281"/>
      <c r="AE221" s="22"/>
    </row>
    <row r="222">
      <c r="A222" s="264"/>
      <c r="B222" s="267"/>
      <c r="C222" s="265"/>
      <c r="D222" s="265"/>
      <c r="E222" s="265"/>
      <c r="F222" s="266"/>
      <c r="G222" s="267" t="str">
        <f t="shared" si="1"/>
        <v/>
      </c>
      <c r="H222" s="264"/>
      <c r="I222" s="282"/>
      <c r="J222" s="282"/>
      <c r="K222" s="282"/>
      <c r="L222" s="282"/>
      <c r="M222" s="269"/>
      <c r="N222" s="283" t="str">
        <f t="array" ref="N222">if(C222=0,"",INDEX('Biaya Administrasi'!E:E, MATCH(I222, 'Biaya Administrasi'!B:B, 0)))</f>
        <v/>
      </c>
      <c r="O222" s="284" t="str">
        <f t="shared" si="2"/>
        <v/>
      </c>
      <c r="P222" s="285" t="str">
        <f t="array" ref="P222">if(J222=0,"",INDEX('Biaya Gratis Ongkir Xtra'!D:D, MATCH(J222, 'Biaya Gratis Ongkir Xtra'!C:C, 0)))</f>
        <v/>
      </c>
      <c r="Q222" s="286" t="str">
        <f t="shared" si="3"/>
        <v/>
      </c>
      <c r="R222" s="287" t="str">
        <f t="array" ref="R222">if(K222=0,"",INDEX('Biaya Gratis Ongkir Xtra'!$C$7:$C$10, MATCH(K222, 'Biaya Gratis Ongkir Xtra'!$B$7:$B$10, 0)))</f>
        <v/>
      </c>
      <c r="S222" s="288" t="str">
        <f t="shared" si="4"/>
        <v/>
      </c>
      <c r="T222" s="273" t="str">
        <f t="shared" si="13"/>
        <v/>
      </c>
      <c r="U222" s="287" t="str">
        <f t="array" ref="U222">if(C222=0,"",INDEX('Biaya Gratis Ongkir Xtra'!$C$3:$C$4, MATCH(L222, 'Biaya Gratis Ongkir Xtra'!$B$3:$B$4, 0)))</f>
        <v/>
      </c>
      <c r="V222" s="288" t="str">
        <f t="shared" si="6"/>
        <v/>
      </c>
      <c r="W222" s="264"/>
      <c r="X222" s="289" t="str">
        <f t="shared" si="7"/>
        <v/>
      </c>
      <c r="Y222" s="290" t="str">
        <f t="shared" si="8"/>
        <v/>
      </c>
      <c r="Z222" s="291" t="str">
        <f t="shared" si="9"/>
        <v/>
      </c>
      <c r="AA222" s="289" t="str">
        <f t="shared" si="10"/>
        <v/>
      </c>
      <c r="AB222" s="291" t="str">
        <f t="shared" si="11"/>
        <v/>
      </c>
      <c r="AC222" s="292" t="str">
        <f t="shared" si="12"/>
        <v/>
      </c>
      <c r="AD222" s="281"/>
      <c r="AE222" s="22"/>
    </row>
    <row r="223">
      <c r="A223" s="264"/>
      <c r="B223" s="267"/>
      <c r="C223" s="265"/>
      <c r="D223" s="265"/>
      <c r="E223" s="265"/>
      <c r="F223" s="266"/>
      <c r="G223" s="267" t="str">
        <f t="shared" si="1"/>
        <v/>
      </c>
      <c r="H223" s="264"/>
      <c r="I223" s="282"/>
      <c r="J223" s="282"/>
      <c r="K223" s="282"/>
      <c r="L223" s="282"/>
      <c r="M223" s="269"/>
      <c r="N223" s="283" t="str">
        <f t="array" ref="N223">if(C223=0,"",INDEX('Biaya Administrasi'!E:E, MATCH(I223, 'Biaya Administrasi'!B:B, 0)))</f>
        <v/>
      </c>
      <c r="O223" s="284" t="str">
        <f t="shared" si="2"/>
        <v/>
      </c>
      <c r="P223" s="285" t="str">
        <f t="array" ref="P223">if(J223=0,"",INDEX('Biaya Gratis Ongkir Xtra'!D:D, MATCH(J223, 'Biaya Gratis Ongkir Xtra'!C:C, 0)))</f>
        <v/>
      </c>
      <c r="Q223" s="286" t="str">
        <f t="shared" si="3"/>
        <v/>
      </c>
      <c r="R223" s="287" t="str">
        <f t="array" ref="R223">if(K223=0,"",INDEX('Biaya Gratis Ongkir Xtra'!$C$7:$C$10, MATCH(K223, 'Biaya Gratis Ongkir Xtra'!$B$7:$B$10, 0)))</f>
        <v/>
      </c>
      <c r="S223" s="288" t="str">
        <f t="shared" si="4"/>
        <v/>
      </c>
      <c r="T223" s="273" t="str">
        <f t="shared" si="13"/>
        <v/>
      </c>
      <c r="U223" s="287" t="str">
        <f t="array" ref="U223">if(C223=0,"",INDEX('Biaya Gratis Ongkir Xtra'!$C$3:$C$4, MATCH(L223, 'Biaya Gratis Ongkir Xtra'!$B$3:$B$4, 0)))</f>
        <v/>
      </c>
      <c r="V223" s="288" t="str">
        <f t="shared" si="6"/>
        <v/>
      </c>
      <c r="W223" s="264"/>
      <c r="X223" s="289" t="str">
        <f t="shared" si="7"/>
        <v/>
      </c>
      <c r="Y223" s="290" t="str">
        <f t="shared" si="8"/>
        <v/>
      </c>
      <c r="Z223" s="291" t="str">
        <f t="shared" si="9"/>
        <v/>
      </c>
      <c r="AA223" s="289" t="str">
        <f t="shared" si="10"/>
        <v/>
      </c>
      <c r="AB223" s="291" t="str">
        <f t="shared" si="11"/>
        <v/>
      </c>
      <c r="AC223" s="292" t="str">
        <f t="shared" si="12"/>
        <v/>
      </c>
      <c r="AD223" s="281"/>
      <c r="AE223" s="22"/>
    </row>
    <row r="224">
      <c r="A224" s="264"/>
      <c r="B224" s="267"/>
      <c r="C224" s="265"/>
      <c r="D224" s="265"/>
      <c r="E224" s="265"/>
      <c r="F224" s="266"/>
      <c r="G224" s="267" t="str">
        <f t="shared" si="1"/>
        <v/>
      </c>
      <c r="H224" s="264"/>
      <c r="I224" s="282"/>
      <c r="J224" s="282"/>
      <c r="K224" s="282"/>
      <c r="L224" s="282"/>
      <c r="M224" s="269"/>
      <c r="N224" s="283" t="str">
        <f t="array" ref="N224">if(C224=0,"",INDEX('Biaya Administrasi'!E:E, MATCH(I224, 'Biaya Administrasi'!B:B, 0)))</f>
        <v/>
      </c>
      <c r="O224" s="284" t="str">
        <f t="shared" si="2"/>
        <v/>
      </c>
      <c r="P224" s="285" t="str">
        <f t="array" ref="P224">if(J224=0,"",INDEX('Biaya Gratis Ongkir Xtra'!D:D, MATCH(J224, 'Biaya Gratis Ongkir Xtra'!C:C, 0)))</f>
        <v/>
      </c>
      <c r="Q224" s="286" t="str">
        <f t="shared" si="3"/>
        <v/>
      </c>
      <c r="R224" s="287" t="str">
        <f t="array" ref="R224">if(K224=0,"",INDEX('Biaya Gratis Ongkir Xtra'!$C$7:$C$10, MATCH(K224, 'Biaya Gratis Ongkir Xtra'!$B$7:$B$10, 0)))</f>
        <v/>
      </c>
      <c r="S224" s="288" t="str">
        <f t="shared" si="4"/>
        <v/>
      </c>
      <c r="T224" s="273" t="str">
        <f t="shared" si="13"/>
        <v/>
      </c>
      <c r="U224" s="287" t="str">
        <f t="array" ref="U224">if(C224=0,"",INDEX('Biaya Gratis Ongkir Xtra'!$C$3:$C$4, MATCH(L224, 'Biaya Gratis Ongkir Xtra'!$B$3:$B$4, 0)))</f>
        <v/>
      </c>
      <c r="V224" s="288" t="str">
        <f t="shared" si="6"/>
        <v/>
      </c>
      <c r="W224" s="264"/>
      <c r="X224" s="289" t="str">
        <f t="shared" si="7"/>
        <v/>
      </c>
      <c r="Y224" s="290" t="str">
        <f t="shared" si="8"/>
        <v/>
      </c>
      <c r="Z224" s="291" t="str">
        <f t="shared" si="9"/>
        <v/>
      </c>
      <c r="AA224" s="289" t="str">
        <f t="shared" si="10"/>
        <v/>
      </c>
      <c r="AB224" s="291" t="str">
        <f t="shared" si="11"/>
        <v/>
      </c>
      <c r="AC224" s="292" t="str">
        <f t="shared" si="12"/>
        <v/>
      </c>
      <c r="AD224" s="281"/>
      <c r="AE224" s="22"/>
    </row>
    <row r="225">
      <c r="A225" s="264"/>
      <c r="B225" s="267"/>
      <c r="C225" s="265"/>
      <c r="D225" s="265"/>
      <c r="E225" s="265"/>
      <c r="F225" s="266"/>
      <c r="G225" s="267" t="str">
        <f t="shared" si="1"/>
        <v/>
      </c>
      <c r="H225" s="264"/>
      <c r="I225" s="282"/>
      <c r="J225" s="282"/>
      <c r="K225" s="282"/>
      <c r="L225" s="282"/>
      <c r="M225" s="269"/>
      <c r="N225" s="283" t="str">
        <f t="array" ref="N225">if(C225=0,"",INDEX('Biaya Administrasi'!E:E, MATCH(I225, 'Biaya Administrasi'!B:B, 0)))</f>
        <v/>
      </c>
      <c r="O225" s="284" t="str">
        <f t="shared" si="2"/>
        <v/>
      </c>
      <c r="P225" s="285" t="str">
        <f t="array" ref="P225">if(J225=0,"",INDEX('Biaya Gratis Ongkir Xtra'!D:D, MATCH(J225, 'Biaya Gratis Ongkir Xtra'!C:C, 0)))</f>
        <v/>
      </c>
      <c r="Q225" s="286" t="str">
        <f t="shared" si="3"/>
        <v/>
      </c>
      <c r="R225" s="287" t="str">
        <f t="array" ref="R225">if(K225=0,"",INDEX('Biaya Gratis Ongkir Xtra'!$C$7:$C$10, MATCH(K225, 'Biaya Gratis Ongkir Xtra'!$B$7:$B$10, 0)))</f>
        <v/>
      </c>
      <c r="S225" s="288" t="str">
        <f t="shared" si="4"/>
        <v/>
      </c>
      <c r="T225" s="273" t="str">
        <f t="shared" si="13"/>
        <v/>
      </c>
      <c r="U225" s="287" t="str">
        <f t="array" ref="U225">if(C225=0,"",INDEX('Biaya Gratis Ongkir Xtra'!$C$3:$C$4, MATCH(L225, 'Biaya Gratis Ongkir Xtra'!$B$3:$B$4, 0)))</f>
        <v/>
      </c>
      <c r="V225" s="288" t="str">
        <f t="shared" si="6"/>
        <v/>
      </c>
      <c r="W225" s="264"/>
      <c r="X225" s="289" t="str">
        <f t="shared" si="7"/>
        <v/>
      </c>
      <c r="Y225" s="290" t="str">
        <f t="shared" si="8"/>
        <v/>
      </c>
      <c r="Z225" s="291" t="str">
        <f t="shared" si="9"/>
        <v/>
      </c>
      <c r="AA225" s="289" t="str">
        <f t="shared" si="10"/>
        <v/>
      </c>
      <c r="AB225" s="291" t="str">
        <f t="shared" si="11"/>
        <v/>
      </c>
      <c r="AC225" s="292" t="str">
        <f t="shared" si="12"/>
        <v/>
      </c>
      <c r="AD225" s="281"/>
      <c r="AE225" s="22"/>
    </row>
    <row r="226">
      <c r="A226" s="264"/>
      <c r="B226" s="267"/>
      <c r="C226" s="265"/>
      <c r="D226" s="265"/>
      <c r="E226" s="265"/>
      <c r="F226" s="266"/>
      <c r="G226" s="267" t="str">
        <f t="shared" si="1"/>
        <v/>
      </c>
      <c r="H226" s="264"/>
      <c r="I226" s="282"/>
      <c r="J226" s="282"/>
      <c r="K226" s="282"/>
      <c r="L226" s="282"/>
      <c r="M226" s="269"/>
      <c r="N226" s="283" t="str">
        <f t="array" ref="N226">if(C226=0,"",INDEX('Biaya Administrasi'!E:E, MATCH(I226, 'Biaya Administrasi'!B:B, 0)))</f>
        <v/>
      </c>
      <c r="O226" s="284" t="str">
        <f t="shared" si="2"/>
        <v/>
      </c>
      <c r="P226" s="285" t="str">
        <f t="array" ref="P226">if(J226=0,"",INDEX('Biaya Gratis Ongkir Xtra'!D:D, MATCH(J226, 'Biaya Gratis Ongkir Xtra'!C:C, 0)))</f>
        <v/>
      </c>
      <c r="Q226" s="286" t="str">
        <f t="shared" si="3"/>
        <v/>
      </c>
      <c r="R226" s="287" t="str">
        <f t="array" ref="R226">if(K226=0,"",INDEX('Biaya Gratis Ongkir Xtra'!$C$7:$C$10, MATCH(K226, 'Biaya Gratis Ongkir Xtra'!$B$7:$B$10, 0)))</f>
        <v/>
      </c>
      <c r="S226" s="288" t="str">
        <f t="shared" si="4"/>
        <v/>
      </c>
      <c r="T226" s="273" t="str">
        <f t="shared" si="13"/>
        <v/>
      </c>
      <c r="U226" s="287" t="str">
        <f t="array" ref="U226">if(C226=0,"",INDEX('Biaya Gratis Ongkir Xtra'!$C$3:$C$4, MATCH(L226, 'Biaya Gratis Ongkir Xtra'!$B$3:$B$4, 0)))</f>
        <v/>
      </c>
      <c r="V226" s="288" t="str">
        <f t="shared" si="6"/>
        <v/>
      </c>
      <c r="W226" s="264"/>
      <c r="X226" s="289" t="str">
        <f t="shared" si="7"/>
        <v/>
      </c>
      <c r="Y226" s="290" t="str">
        <f t="shared" si="8"/>
        <v/>
      </c>
      <c r="Z226" s="291" t="str">
        <f t="shared" si="9"/>
        <v/>
      </c>
      <c r="AA226" s="289" t="str">
        <f t="shared" si="10"/>
        <v/>
      </c>
      <c r="AB226" s="291" t="str">
        <f t="shared" si="11"/>
        <v/>
      </c>
      <c r="AC226" s="292" t="str">
        <f t="shared" si="12"/>
        <v/>
      </c>
      <c r="AD226" s="281"/>
      <c r="AE226" s="22"/>
    </row>
    <row r="227">
      <c r="A227" s="264"/>
      <c r="B227" s="267"/>
      <c r="C227" s="265"/>
      <c r="D227" s="265"/>
      <c r="E227" s="265"/>
      <c r="F227" s="266"/>
      <c r="G227" s="267" t="str">
        <f t="shared" si="1"/>
        <v/>
      </c>
      <c r="H227" s="264"/>
      <c r="I227" s="282"/>
      <c r="J227" s="282"/>
      <c r="K227" s="282"/>
      <c r="L227" s="282"/>
      <c r="M227" s="269"/>
      <c r="N227" s="283" t="str">
        <f t="array" ref="N227">if(C227=0,"",INDEX('Biaya Administrasi'!E:E, MATCH(I227, 'Biaya Administrasi'!B:B, 0)))</f>
        <v/>
      </c>
      <c r="O227" s="284" t="str">
        <f t="shared" si="2"/>
        <v/>
      </c>
      <c r="P227" s="285" t="str">
        <f t="array" ref="P227">if(J227=0,"",INDEX('Biaya Gratis Ongkir Xtra'!D:D, MATCH(J227, 'Biaya Gratis Ongkir Xtra'!C:C, 0)))</f>
        <v/>
      </c>
      <c r="Q227" s="286" t="str">
        <f t="shared" si="3"/>
        <v/>
      </c>
      <c r="R227" s="287" t="str">
        <f t="array" ref="R227">if(K227=0,"",INDEX('Biaya Gratis Ongkir Xtra'!$C$7:$C$10, MATCH(K227, 'Biaya Gratis Ongkir Xtra'!$B$7:$B$10, 0)))</f>
        <v/>
      </c>
      <c r="S227" s="288" t="str">
        <f t="shared" si="4"/>
        <v/>
      </c>
      <c r="T227" s="273" t="str">
        <f t="shared" si="13"/>
        <v/>
      </c>
      <c r="U227" s="287" t="str">
        <f t="array" ref="U227">if(C227=0,"",INDEX('Biaya Gratis Ongkir Xtra'!$C$3:$C$4, MATCH(L227, 'Biaya Gratis Ongkir Xtra'!$B$3:$B$4, 0)))</f>
        <v/>
      </c>
      <c r="V227" s="288" t="str">
        <f t="shared" si="6"/>
        <v/>
      </c>
      <c r="W227" s="264"/>
      <c r="X227" s="289" t="str">
        <f t="shared" si="7"/>
        <v/>
      </c>
      <c r="Y227" s="290" t="str">
        <f t="shared" si="8"/>
        <v/>
      </c>
      <c r="Z227" s="291" t="str">
        <f t="shared" si="9"/>
        <v/>
      </c>
      <c r="AA227" s="289" t="str">
        <f t="shared" si="10"/>
        <v/>
      </c>
      <c r="AB227" s="291" t="str">
        <f t="shared" si="11"/>
        <v/>
      </c>
      <c r="AC227" s="292" t="str">
        <f t="shared" si="12"/>
        <v/>
      </c>
      <c r="AD227" s="281"/>
      <c r="AE227" s="22"/>
    </row>
    <row r="228">
      <c r="A228" s="264"/>
      <c r="B228" s="267"/>
      <c r="C228" s="265"/>
      <c r="D228" s="265"/>
      <c r="E228" s="265"/>
      <c r="F228" s="266"/>
      <c r="G228" s="267" t="str">
        <f t="shared" si="1"/>
        <v/>
      </c>
      <c r="H228" s="264"/>
      <c r="I228" s="282"/>
      <c r="J228" s="282"/>
      <c r="K228" s="282"/>
      <c r="L228" s="282"/>
      <c r="M228" s="269"/>
      <c r="N228" s="283" t="str">
        <f t="array" ref="N228">if(C228=0,"",INDEX('Biaya Administrasi'!E:E, MATCH(I228, 'Biaya Administrasi'!B:B, 0)))</f>
        <v/>
      </c>
      <c r="O228" s="284" t="str">
        <f t="shared" si="2"/>
        <v/>
      </c>
      <c r="P228" s="285" t="str">
        <f t="array" ref="P228">if(J228=0,"",INDEX('Biaya Gratis Ongkir Xtra'!D:D, MATCH(J228, 'Biaya Gratis Ongkir Xtra'!C:C, 0)))</f>
        <v/>
      </c>
      <c r="Q228" s="286" t="str">
        <f t="shared" si="3"/>
        <v/>
      </c>
      <c r="R228" s="287" t="str">
        <f t="array" ref="R228">if(K228=0,"",INDEX('Biaya Gratis Ongkir Xtra'!$C$7:$C$10, MATCH(K228, 'Biaya Gratis Ongkir Xtra'!$B$7:$B$10, 0)))</f>
        <v/>
      </c>
      <c r="S228" s="288" t="str">
        <f t="shared" si="4"/>
        <v/>
      </c>
      <c r="T228" s="273" t="str">
        <f t="shared" si="13"/>
        <v/>
      </c>
      <c r="U228" s="287" t="str">
        <f t="array" ref="U228">if(C228=0,"",INDEX('Biaya Gratis Ongkir Xtra'!$C$3:$C$4, MATCH(L228, 'Biaya Gratis Ongkir Xtra'!$B$3:$B$4, 0)))</f>
        <v/>
      </c>
      <c r="V228" s="288" t="str">
        <f t="shared" si="6"/>
        <v/>
      </c>
      <c r="W228" s="264"/>
      <c r="X228" s="289" t="str">
        <f t="shared" si="7"/>
        <v/>
      </c>
      <c r="Y228" s="290" t="str">
        <f t="shared" si="8"/>
        <v/>
      </c>
      <c r="Z228" s="291" t="str">
        <f t="shared" si="9"/>
        <v/>
      </c>
      <c r="AA228" s="289" t="str">
        <f t="shared" si="10"/>
        <v/>
      </c>
      <c r="AB228" s="291" t="str">
        <f t="shared" si="11"/>
        <v/>
      </c>
      <c r="AC228" s="292" t="str">
        <f t="shared" si="12"/>
        <v/>
      </c>
      <c r="AD228" s="281"/>
      <c r="AE228" s="22"/>
    </row>
    <row r="229">
      <c r="A229" s="264"/>
      <c r="B229" s="267"/>
      <c r="C229" s="265"/>
      <c r="D229" s="265"/>
      <c r="E229" s="265"/>
      <c r="F229" s="266"/>
      <c r="G229" s="267" t="str">
        <f t="shared" si="1"/>
        <v/>
      </c>
      <c r="H229" s="264"/>
      <c r="I229" s="282"/>
      <c r="J229" s="282"/>
      <c r="K229" s="282"/>
      <c r="L229" s="282"/>
      <c r="M229" s="269"/>
      <c r="N229" s="283" t="str">
        <f t="array" ref="N229">if(C229=0,"",INDEX('Biaya Administrasi'!E:E, MATCH(I229, 'Biaya Administrasi'!B:B, 0)))</f>
        <v/>
      </c>
      <c r="O229" s="284" t="str">
        <f t="shared" si="2"/>
        <v/>
      </c>
      <c r="P229" s="285" t="str">
        <f t="array" ref="P229">if(J229=0,"",INDEX('Biaya Gratis Ongkir Xtra'!D:D, MATCH(J229, 'Biaya Gratis Ongkir Xtra'!C:C, 0)))</f>
        <v/>
      </c>
      <c r="Q229" s="286" t="str">
        <f t="shared" si="3"/>
        <v/>
      </c>
      <c r="R229" s="287" t="str">
        <f t="array" ref="R229">if(K229=0,"",INDEX('Biaya Gratis Ongkir Xtra'!$C$7:$C$10, MATCH(K229, 'Biaya Gratis Ongkir Xtra'!$B$7:$B$10, 0)))</f>
        <v/>
      </c>
      <c r="S229" s="288" t="str">
        <f t="shared" si="4"/>
        <v/>
      </c>
      <c r="T229" s="273" t="str">
        <f t="shared" si="13"/>
        <v/>
      </c>
      <c r="U229" s="287" t="str">
        <f t="array" ref="U229">if(C229=0,"",INDEX('Biaya Gratis Ongkir Xtra'!$C$3:$C$4, MATCH(L229, 'Biaya Gratis Ongkir Xtra'!$B$3:$B$4, 0)))</f>
        <v/>
      </c>
      <c r="V229" s="288" t="str">
        <f t="shared" si="6"/>
        <v/>
      </c>
      <c r="W229" s="264"/>
      <c r="X229" s="289" t="str">
        <f t="shared" si="7"/>
        <v/>
      </c>
      <c r="Y229" s="290" t="str">
        <f t="shared" si="8"/>
        <v/>
      </c>
      <c r="Z229" s="291" t="str">
        <f t="shared" si="9"/>
        <v/>
      </c>
      <c r="AA229" s="289" t="str">
        <f t="shared" si="10"/>
        <v/>
      </c>
      <c r="AB229" s="291" t="str">
        <f t="shared" si="11"/>
        <v/>
      </c>
      <c r="AC229" s="292" t="str">
        <f t="shared" si="12"/>
        <v/>
      </c>
      <c r="AD229" s="281"/>
      <c r="AE229" s="22"/>
    </row>
    <row r="230">
      <c r="A230" s="264"/>
      <c r="B230" s="267"/>
      <c r="C230" s="265"/>
      <c r="D230" s="265"/>
      <c r="E230" s="265"/>
      <c r="F230" s="266"/>
      <c r="G230" s="267" t="str">
        <f t="shared" si="1"/>
        <v/>
      </c>
      <c r="H230" s="264"/>
      <c r="I230" s="282"/>
      <c r="J230" s="282"/>
      <c r="K230" s="282"/>
      <c r="L230" s="282"/>
      <c r="M230" s="269"/>
      <c r="N230" s="283" t="str">
        <f t="array" ref="N230">if(C230=0,"",INDEX('Biaya Administrasi'!E:E, MATCH(I230, 'Biaya Administrasi'!B:B, 0)))</f>
        <v/>
      </c>
      <c r="O230" s="284" t="str">
        <f t="shared" si="2"/>
        <v/>
      </c>
      <c r="P230" s="285" t="str">
        <f t="array" ref="P230">if(J230=0,"",INDEX('Biaya Gratis Ongkir Xtra'!D:D, MATCH(J230, 'Biaya Gratis Ongkir Xtra'!C:C, 0)))</f>
        <v/>
      </c>
      <c r="Q230" s="286" t="str">
        <f t="shared" si="3"/>
        <v/>
      </c>
      <c r="R230" s="287" t="str">
        <f t="array" ref="R230">if(K230=0,"",INDEX('Biaya Gratis Ongkir Xtra'!$C$7:$C$10, MATCH(K230, 'Biaya Gratis Ongkir Xtra'!$B$7:$B$10, 0)))</f>
        <v/>
      </c>
      <c r="S230" s="288" t="str">
        <f t="shared" si="4"/>
        <v/>
      </c>
      <c r="T230" s="273" t="str">
        <f t="shared" si="13"/>
        <v/>
      </c>
      <c r="U230" s="287" t="str">
        <f t="array" ref="U230">if(C230=0,"",INDEX('Biaya Gratis Ongkir Xtra'!$C$3:$C$4, MATCH(L230, 'Biaya Gratis Ongkir Xtra'!$B$3:$B$4, 0)))</f>
        <v/>
      </c>
      <c r="V230" s="288" t="str">
        <f t="shared" si="6"/>
        <v/>
      </c>
      <c r="W230" s="264"/>
      <c r="X230" s="289" t="str">
        <f t="shared" si="7"/>
        <v/>
      </c>
      <c r="Y230" s="290" t="str">
        <f t="shared" si="8"/>
        <v/>
      </c>
      <c r="Z230" s="291" t="str">
        <f t="shared" si="9"/>
        <v/>
      </c>
      <c r="AA230" s="289" t="str">
        <f t="shared" si="10"/>
        <v/>
      </c>
      <c r="AB230" s="291" t="str">
        <f t="shared" si="11"/>
        <v/>
      </c>
      <c r="AC230" s="292" t="str">
        <f t="shared" si="12"/>
        <v/>
      </c>
      <c r="AD230" s="281"/>
      <c r="AE230" s="22"/>
    </row>
    <row r="231">
      <c r="A231" s="264"/>
      <c r="B231" s="267"/>
      <c r="C231" s="265"/>
      <c r="D231" s="265"/>
      <c r="E231" s="265"/>
      <c r="F231" s="266"/>
      <c r="G231" s="267" t="str">
        <f t="shared" si="1"/>
        <v/>
      </c>
      <c r="H231" s="264"/>
      <c r="I231" s="282"/>
      <c r="J231" s="282"/>
      <c r="K231" s="282"/>
      <c r="L231" s="282"/>
      <c r="M231" s="269"/>
      <c r="N231" s="283" t="str">
        <f t="array" ref="N231">if(C231=0,"",INDEX('Biaya Administrasi'!E:E, MATCH(I231, 'Biaya Administrasi'!B:B, 0)))</f>
        <v/>
      </c>
      <c r="O231" s="284" t="str">
        <f t="shared" si="2"/>
        <v/>
      </c>
      <c r="P231" s="285" t="str">
        <f t="array" ref="P231">if(J231=0,"",INDEX('Biaya Gratis Ongkir Xtra'!D:D, MATCH(J231, 'Biaya Gratis Ongkir Xtra'!C:C, 0)))</f>
        <v/>
      </c>
      <c r="Q231" s="286" t="str">
        <f t="shared" si="3"/>
        <v/>
      </c>
      <c r="R231" s="287" t="str">
        <f t="array" ref="R231">if(K231=0,"",INDEX('Biaya Gratis Ongkir Xtra'!$C$7:$C$10, MATCH(K231, 'Biaya Gratis Ongkir Xtra'!$B$7:$B$10, 0)))</f>
        <v/>
      </c>
      <c r="S231" s="288" t="str">
        <f t="shared" si="4"/>
        <v/>
      </c>
      <c r="T231" s="273" t="str">
        <f t="shared" si="13"/>
        <v/>
      </c>
      <c r="U231" s="287" t="str">
        <f t="array" ref="U231">if(C231=0,"",INDEX('Biaya Gratis Ongkir Xtra'!$C$3:$C$4, MATCH(L231, 'Biaya Gratis Ongkir Xtra'!$B$3:$B$4, 0)))</f>
        <v/>
      </c>
      <c r="V231" s="288" t="str">
        <f t="shared" si="6"/>
        <v/>
      </c>
      <c r="W231" s="264"/>
      <c r="X231" s="289" t="str">
        <f t="shared" si="7"/>
        <v/>
      </c>
      <c r="Y231" s="290" t="str">
        <f t="shared" si="8"/>
        <v/>
      </c>
      <c r="Z231" s="291" t="str">
        <f t="shared" si="9"/>
        <v/>
      </c>
      <c r="AA231" s="289" t="str">
        <f t="shared" si="10"/>
        <v/>
      </c>
      <c r="AB231" s="291" t="str">
        <f t="shared" si="11"/>
        <v/>
      </c>
      <c r="AC231" s="292" t="str">
        <f t="shared" si="12"/>
        <v/>
      </c>
      <c r="AD231" s="281"/>
      <c r="AE231" s="22"/>
    </row>
    <row r="232">
      <c r="A232" s="264"/>
      <c r="B232" s="267"/>
      <c r="C232" s="265"/>
      <c r="D232" s="265"/>
      <c r="E232" s="265"/>
      <c r="F232" s="266"/>
      <c r="G232" s="267" t="str">
        <f t="shared" si="1"/>
        <v/>
      </c>
      <c r="H232" s="264"/>
      <c r="I232" s="282"/>
      <c r="J232" s="282"/>
      <c r="K232" s="282"/>
      <c r="L232" s="282"/>
      <c r="M232" s="269"/>
      <c r="N232" s="283" t="str">
        <f t="array" ref="N232">if(C232=0,"",INDEX('Biaya Administrasi'!E:E, MATCH(I232, 'Biaya Administrasi'!B:B, 0)))</f>
        <v/>
      </c>
      <c r="O232" s="284" t="str">
        <f t="shared" si="2"/>
        <v/>
      </c>
      <c r="P232" s="285" t="str">
        <f t="array" ref="P232">if(J232=0,"",INDEX('Biaya Gratis Ongkir Xtra'!D:D, MATCH(J232, 'Biaya Gratis Ongkir Xtra'!C:C, 0)))</f>
        <v/>
      </c>
      <c r="Q232" s="286" t="str">
        <f t="shared" si="3"/>
        <v/>
      </c>
      <c r="R232" s="287" t="str">
        <f t="array" ref="R232">if(K232=0,"",INDEX('Biaya Gratis Ongkir Xtra'!$C$7:$C$10, MATCH(K232, 'Biaya Gratis Ongkir Xtra'!$B$7:$B$10, 0)))</f>
        <v/>
      </c>
      <c r="S232" s="288" t="str">
        <f t="shared" si="4"/>
        <v/>
      </c>
      <c r="T232" s="273" t="str">
        <f t="shared" si="13"/>
        <v/>
      </c>
      <c r="U232" s="287" t="str">
        <f t="array" ref="U232">if(C232=0,"",INDEX('Biaya Gratis Ongkir Xtra'!$C$3:$C$4, MATCH(L232, 'Biaya Gratis Ongkir Xtra'!$B$3:$B$4, 0)))</f>
        <v/>
      </c>
      <c r="V232" s="288" t="str">
        <f t="shared" si="6"/>
        <v/>
      </c>
      <c r="W232" s="264"/>
      <c r="X232" s="289" t="str">
        <f t="shared" si="7"/>
        <v/>
      </c>
      <c r="Y232" s="290" t="str">
        <f t="shared" si="8"/>
        <v/>
      </c>
      <c r="Z232" s="291" t="str">
        <f t="shared" si="9"/>
        <v/>
      </c>
      <c r="AA232" s="289" t="str">
        <f t="shared" si="10"/>
        <v/>
      </c>
      <c r="AB232" s="291" t="str">
        <f t="shared" si="11"/>
        <v/>
      </c>
      <c r="AC232" s="292" t="str">
        <f t="shared" si="12"/>
        <v/>
      </c>
      <c r="AD232" s="281"/>
      <c r="AE232" s="22"/>
    </row>
    <row r="233">
      <c r="A233" s="264"/>
      <c r="B233" s="267"/>
      <c r="C233" s="265"/>
      <c r="D233" s="265"/>
      <c r="E233" s="265"/>
      <c r="F233" s="266"/>
      <c r="G233" s="267" t="str">
        <f t="shared" si="1"/>
        <v/>
      </c>
      <c r="H233" s="264"/>
      <c r="I233" s="282"/>
      <c r="J233" s="282"/>
      <c r="K233" s="282"/>
      <c r="L233" s="282"/>
      <c r="M233" s="269"/>
      <c r="N233" s="283" t="str">
        <f t="array" ref="N233">if(C233=0,"",INDEX('Biaya Administrasi'!E:E, MATCH(I233, 'Biaya Administrasi'!B:B, 0)))</f>
        <v/>
      </c>
      <c r="O233" s="284" t="str">
        <f t="shared" si="2"/>
        <v/>
      </c>
      <c r="P233" s="285" t="str">
        <f t="array" ref="P233">if(J233=0,"",INDEX('Biaya Gratis Ongkir Xtra'!D:D, MATCH(J233, 'Biaya Gratis Ongkir Xtra'!C:C, 0)))</f>
        <v/>
      </c>
      <c r="Q233" s="286" t="str">
        <f t="shared" si="3"/>
        <v/>
      </c>
      <c r="R233" s="287" t="str">
        <f t="array" ref="R233">if(K233=0,"",INDEX('Biaya Gratis Ongkir Xtra'!$C$7:$C$10, MATCH(K233, 'Biaya Gratis Ongkir Xtra'!$B$7:$B$10, 0)))</f>
        <v/>
      </c>
      <c r="S233" s="288" t="str">
        <f t="shared" si="4"/>
        <v/>
      </c>
      <c r="T233" s="273" t="str">
        <f t="shared" si="13"/>
        <v/>
      </c>
      <c r="U233" s="287" t="str">
        <f t="array" ref="U233">if(C233=0,"",INDEX('Biaya Gratis Ongkir Xtra'!$C$3:$C$4, MATCH(L233, 'Biaya Gratis Ongkir Xtra'!$B$3:$B$4, 0)))</f>
        <v/>
      </c>
      <c r="V233" s="288" t="str">
        <f t="shared" si="6"/>
        <v/>
      </c>
      <c r="W233" s="264"/>
      <c r="X233" s="289" t="str">
        <f t="shared" si="7"/>
        <v/>
      </c>
      <c r="Y233" s="290" t="str">
        <f t="shared" si="8"/>
        <v/>
      </c>
      <c r="Z233" s="291" t="str">
        <f t="shared" si="9"/>
        <v/>
      </c>
      <c r="AA233" s="289" t="str">
        <f t="shared" si="10"/>
        <v/>
      </c>
      <c r="AB233" s="291" t="str">
        <f t="shared" si="11"/>
        <v/>
      </c>
      <c r="AC233" s="292" t="str">
        <f t="shared" si="12"/>
        <v/>
      </c>
      <c r="AD233" s="281"/>
      <c r="AE233" s="22"/>
    </row>
    <row r="234">
      <c r="A234" s="264"/>
      <c r="B234" s="267"/>
      <c r="C234" s="265"/>
      <c r="D234" s="265"/>
      <c r="E234" s="265"/>
      <c r="F234" s="266"/>
      <c r="G234" s="267" t="str">
        <f t="shared" si="1"/>
        <v/>
      </c>
      <c r="H234" s="264"/>
      <c r="I234" s="282"/>
      <c r="J234" s="282"/>
      <c r="K234" s="282"/>
      <c r="L234" s="282"/>
      <c r="M234" s="269"/>
      <c r="N234" s="283" t="str">
        <f t="array" ref="N234">if(C234=0,"",INDEX('Biaya Administrasi'!E:E, MATCH(I234, 'Biaya Administrasi'!B:B, 0)))</f>
        <v/>
      </c>
      <c r="O234" s="284" t="str">
        <f t="shared" si="2"/>
        <v/>
      </c>
      <c r="P234" s="285" t="str">
        <f t="array" ref="P234">if(J234=0,"",INDEX('Biaya Gratis Ongkir Xtra'!D:D, MATCH(J234, 'Biaya Gratis Ongkir Xtra'!C:C, 0)))</f>
        <v/>
      </c>
      <c r="Q234" s="286" t="str">
        <f t="shared" si="3"/>
        <v/>
      </c>
      <c r="R234" s="287" t="str">
        <f t="array" ref="R234">if(K234=0,"",INDEX('Biaya Gratis Ongkir Xtra'!$C$7:$C$10, MATCH(K234, 'Biaya Gratis Ongkir Xtra'!$B$7:$B$10, 0)))</f>
        <v/>
      </c>
      <c r="S234" s="288" t="str">
        <f t="shared" si="4"/>
        <v/>
      </c>
      <c r="T234" s="273" t="str">
        <f t="shared" si="13"/>
        <v/>
      </c>
      <c r="U234" s="287" t="str">
        <f t="array" ref="U234">if(C234=0,"",INDEX('Biaya Gratis Ongkir Xtra'!$C$3:$C$4, MATCH(L234, 'Biaya Gratis Ongkir Xtra'!$B$3:$B$4, 0)))</f>
        <v/>
      </c>
      <c r="V234" s="288" t="str">
        <f t="shared" si="6"/>
        <v/>
      </c>
      <c r="W234" s="264"/>
      <c r="X234" s="289" t="str">
        <f t="shared" si="7"/>
        <v/>
      </c>
      <c r="Y234" s="290" t="str">
        <f t="shared" si="8"/>
        <v/>
      </c>
      <c r="Z234" s="291" t="str">
        <f t="shared" si="9"/>
        <v/>
      </c>
      <c r="AA234" s="289" t="str">
        <f t="shared" si="10"/>
        <v/>
      </c>
      <c r="AB234" s="291" t="str">
        <f t="shared" si="11"/>
        <v/>
      </c>
      <c r="AC234" s="292" t="str">
        <f t="shared" si="12"/>
        <v/>
      </c>
      <c r="AD234" s="281"/>
      <c r="AE234" s="22"/>
    </row>
    <row r="235">
      <c r="A235" s="264"/>
      <c r="B235" s="267"/>
      <c r="C235" s="265"/>
      <c r="D235" s="265"/>
      <c r="E235" s="265"/>
      <c r="F235" s="266"/>
      <c r="G235" s="267" t="str">
        <f t="shared" si="1"/>
        <v/>
      </c>
      <c r="H235" s="264"/>
      <c r="I235" s="282"/>
      <c r="J235" s="282"/>
      <c r="K235" s="282"/>
      <c r="L235" s="282"/>
      <c r="M235" s="269"/>
      <c r="N235" s="283" t="str">
        <f t="array" ref="N235">if(C235=0,"",INDEX('Biaya Administrasi'!E:E, MATCH(I235, 'Biaya Administrasi'!B:B, 0)))</f>
        <v/>
      </c>
      <c r="O235" s="284" t="str">
        <f t="shared" si="2"/>
        <v/>
      </c>
      <c r="P235" s="285" t="str">
        <f t="array" ref="P235">if(J235=0,"",INDEX('Biaya Gratis Ongkir Xtra'!D:D, MATCH(J235, 'Biaya Gratis Ongkir Xtra'!C:C, 0)))</f>
        <v/>
      </c>
      <c r="Q235" s="286" t="str">
        <f t="shared" si="3"/>
        <v/>
      </c>
      <c r="R235" s="287" t="str">
        <f t="array" ref="R235">if(K235=0,"",INDEX('Biaya Gratis Ongkir Xtra'!$C$7:$C$10, MATCH(K235, 'Biaya Gratis Ongkir Xtra'!$B$7:$B$10, 0)))</f>
        <v/>
      </c>
      <c r="S235" s="288" t="str">
        <f t="shared" si="4"/>
        <v/>
      </c>
      <c r="T235" s="273" t="str">
        <f t="shared" si="13"/>
        <v/>
      </c>
      <c r="U235" s="287" t="str">
        <f t="array" ref="U235">if(C235=0,"",INDEX('Biaya Gratis Ongkir Xtra'!$C$3:$C$4, MATCH(L235, 'Biaya Gratis Ongkir Xtra'!$B$3:$B$4, 0)))</f>
        <v/>
      </c>
      <c r="V235" s="288" t="str">
        <f t="shared" si="6"/>
        <v/>
      </c>
      <c r="W235" s="264"/>
      <c r="X235" s="289" t="str">
        <f t="shared" si="7"/>
        <v/>
      </c>
      <c r="Y235" s="290" t="str">
        <f t="shared" si="8"/>
        <v/>
      </c>
      <c r="Z235" s="291" t="str">
        <f t="shared" si="9"/>
        <v/>
      </c>
      <c r="AA235" s="289" t="str">
        <f t="shared" si="10"/>
        <v/>
      </c>
      <c r="AB235" s="291" t="str">
        <f t="shared" si="11"/>
        <v/>
      </c>
      <c r="AC235" s="292" t="str">
        <f t="shared" si="12"/>
        <v/>
      </c>
      <c r="AD235" s="281"/>
      <c r="AE235" s="22"/>
    </row>
    <row r="236">
      <c r="A236" s="264"/>
      <c r="B236" s="267"/>
      <c r="C236" s="265"/>
      <c r="D236" s="265"/>
      <c r="E236" s="265"/>
      <c r="F236" s="266"/>
      <c r="G236" s="267" t="str">
        <f t="shared" si="1"/>
        <v/>
      </c>
      <c r="H236" s="264"/>
      <c r="I236" s="282"/>
      <c r="J236" s="282"/>
      <c r="K236" s="282"/>
      <c r="L236" s="282"/>
      <c r="M236" s="269"/>
      <c r="N236" s="283" t="str">
        <f t="array" ref="N236">if(C236=0,"",INDEX('Biaya Administrasi'!E:E, MATCH(I236, 'Biaya Administrasi'!B:B, 0)))</f>
        <v/>
      </c>
      <c r="O236" s="284" t="str">
        <f t="shared" si="2"/>
        <v/>
      </c>
      <c r="P236" s="285" t="str">
        <f t="array" ref="P236">if(J236=0,"",INDEX('Biaya Gratis Ongkir Xtra'!D:D, MATCH(J236, 'Biaya Gratis Ongkir Xtra'!C:C, 0)))</f>
        <v/>
      </c>
      <c r="Q236" s="286" t="str">
        <f t="shared" si="3"/>
        <v/>
      </c>
      <c r="R236" s="287" t="str">
        <f t="array" ref="R236">if(K236=0,"",INDEX('Biaya Gratis Ongkir Xtra'!$C$7:$C$10, MATCH(K236, 'Biaya Gratis Ongkir Xtra'!$B$7:$B$10, 0)))</f>
        <v/>
      </c>
      <c r="S236" s="288" t="str">
        <f t="shared" si="4"/>
        <v/>
      </c>
      <c r="T236" s="273" t="str">
        <f t="shared" si="13"/>
        <v/>
      </c>
      <c r="U236" s="287" t="str">
        <f t="array" ref="U236">if(C236=0,"",INDEX('Biaya Gratis Ongkir Xtra'!$C$3:$C$4, MATCH(L236, 'Biaya Gratis Ongkir Xtra'!$B$3:$B$4, 0)))</f>
        <v/>
      </c>
      <c r="V236" s="288" t="str">
        <f t="shared" si="6"/>
        <v/>
      </c>
      <c r="W236" s="264"/>
      <c r="X236" s="289" t="str">
        <f t="shared" si="7"/>
        <v/>
      </c>
      <c r="Y236" s="290" t="str">
        <f t="shared" si="8"/>
        <v/>
      </c>
      <c r="Z236" s="291" t="str">
        <f t="shared" si="9"/>
        <v/>
      </c>
      <c r="AA236" s="289" t="str">
        <f t="shared" si="10"/>
        <v/>
      </c>
      <c r="AB236" s="291" t="str">
        <f t="shared" si="11"/>
        <v/>
      </c>
      <c r="AC236" s="292" t="str">
        <f t="shared" si="12"/>
        <v/>
      </c>
      <c r="AD236" s="281"/>
      <c r="AE236" s="22"/>
    </row>
    <row r="237">
      <c r="A237" s="264"/>
      <c r="B237" s="267"/>
      <c r="C237" s="265"/>
      <c r="D237" s="265"/>
      <c r="E237" s="265"/>
      <c r="F237" s="266"/>
      <c r="G237" s="267" t="str">
        <f t="shared" si="1"/>
        <v/>
      </c>
      <c r="H237" s="264"/>
      <c r="I237" s="282"/>
      <c r="J237" s="282"/>
      <c r="K237" s="282"/>
      <c r="L237" s="282"/>
      <c r="M237" s="269"/>
      <c r="N237" s="283" t="str">
        <f t="array" ref="N237">if(C237=0,"",INDEX('Biaya Administrasi'!E:E, MATCH(I237, 'Biaya Administrasi'!B:B, 0)))</f>
        <v/>
      </c>
      <c r="O237" s="284" t="str">
        <f t="shared" si="2"/>
        <v/>
      </c>
      <c r="P237" s="285" t="str">
        <f t="array" ref="P237">if(J237=0,"",INDEX('Biaya Gratis Ongkir Xtra'!D:D, MATCH(J237, 'Biaya Gratis Ongkir Xtra'!C:C, 0)))</f>
        <v/>
      </c>
      <c r="Q237" s="286" t="str">
        <f t="shared" si="3"/>
        <v/>
      </c>
      <c r="R237" s="287" t="str">
        <f t="array" ref="R237">if(K237=0,"",INDEX('Biaya Gratis Ongkir Xtra'!$C$7:$C$10, MATCH(K237, 'Biaya Gratis Ongkir Xtra'!$B$7:$B$10, 0)))</f>
        <v/>
      </c>
      <c r="S237" s="288" t="str">
        <f t="shared" si="4"/>
        <v/>
      </c>
      <c r="T237" s="273" t="str">
        <f t="shared" si="13"/>
        <v/>
      </c>
      <c r="U237" s="287" t="str">
        <f t="array" ref="U237">if(C237=0,"",INDEX('Biaya Gratis Ongkir Xtra'!$C$3:$C$4, MATCH(L237, 'Biaya Gratis Ongkir Xtra'!$B$3:$B$4, 0)))</f>
        <v/>
      </c>
      <c r="V237" s="288" t="str">
        <f t="shared" si="6"/>
        <v/>
      </c>
      <c r="W237" s="264"/>
      <c r="X237" s="289" t="str">
        <f t="shared" si="7"/>
        <v/>
      </c>
      <c r="Y237" s="290" t="str">
        <f t="shared" si="8"/>
        <v/>
      </c>
      <c r="Z237" s="291" t="str">
        <f t="shared" si="9"/>
        <v/>
      </c>
      <c r="AA237" s="289" t="str">
        <f t="shared" si="10"/>
        <v/>
      </c>
      <c r="AB237" s="291" t="str">
        <f t="shared" si="11"/>
        <v/>
      </c>
      <c r="AC237" s="292" t="str">
        <f t="shared" si="12"/>
        <v/>
      </c>
      <c r="AD237" s="281"/>
      <c r="AE237" s="22"/>
    </row>
    <row r="238">
      <c r="A238" s="264"/>
      <c r="B238" s="267"/>
      <c r="C238" s="265"/>
      <c r="D238" s="265"/>
      <c r="E238" s="265"/>
      <c r="F238" s="266"/>
      <c r="G238" s="267" t="str">
        <f t="shared" si="1"/>
        <v/>
      </c>
      <c r="H238" s="264"/>
      <c r="I238" s="282"/>
      <c r="J238" s="282"/>
      <c r="K238" s="282"/>
      <c r="L238" s="282"/>
      <c r="M238" s="269"/>
      <c r="N238" s="283" t="str">
        <f t="array" ref="N238">if(C238=0,"",INDEX('Biaya Administrasi'!E:E, MATCH(I238, 'Biaya Administrasi'!B:B, 0)))</f>
        <v/>
      </c>
      <c r="O238" s="284" t="str">
        <f t="shared" si="2"/>
        <v/>
      </c>
      <c r="P238" s="285" t="str">
        <f t="array" ref="P238">if(J238=0,"",INDEX('Biaya Gratis Ongkir Xtra'!D:D, MATCH(J238, 'Biaya Gratis Ongkir Xtra'!C:C, 0)))</f>
        <v/>
      </c>
      <c r="Q238" s="286" t="str">
        <f t="shared" si="3"/>
        <v/>
      </c>
      <c r="R238" s="287" t="str">
        <f t="array" ref="R238">if(K238=0,"",INDEX('Biaya Gratis Ongkir Xtra'!$C$7:$C$10, MATCH(K238, 'Biaya Gratis Ongkir Xtra'!$B$7:$B$10, 0)))</f>
        <v/>
      </c>
      <c r="S238" s="288" t="str">
        <f t="shared" si="4"/>
        <v/>
      </c>
      <c r="T238" s="273" t="str">
        <f t="shared" si="13"/>
        <v/>
      </c>
      <c r="U238" s="287" t="str">
        <f t="array" ref="U238">if(C238=0,"",INDEX('Biaya Gratis Ongkir Xtra'!$C$3:$C$4, MATCH(L238, 'Biaya Gratis Ongkir Xtra'!$B$3:$B$4, 0)))</f>
        <v/>
      </c>
      <c r="V238" s="288" t="str">
        <f t="shared" si="6"/>
        <v/>
      </c>
      <c r="W238" s="264"/>
      <c r="X238" s="289" t="str">
        <f t="shared" si="7"/>
        <v/>
      </c>
      <c r="Y238" s="290" t="str">
        <f t="shared" si="8"/>
        <v/>
      </c>
      <c r="Z238" s="291" t="str">
        <f t="shared" si="9"/>
        <v/>
      </c>
      <c r="AA238" s="289" t="str">
        <f t="shared" si="10"/>
        <v/>
      </c>
      <c r="AB238" s="291" t="str">
        <f t="shared" si="11"/>
        <v/>
      </c>
      <c r="AC238" s="292" t="str">
        <f t="shared" si="12"/>
        <v/>
      </c>
      <c r="AD238" s="281"/>
      <c r="AE238" s="22"/>
    </row>
    <row r="239">
      <c r="A239" s="264"/>
      <c r="B239" s="267"/>
      <c r="C239" s="265"/>
      <c r="D239" s="265"/>
      <c r="E239" s="265"/>
      <c r="F239" s="266"/>
      <c r="G239" s="267" t="str">
        <f t="shared" si="1"/>
        <v/>
      </c>
      <c r="H239" s="264"/>
      <c r="I239" s="282"/>
      <c r="J239" s="282"/>
      <c r="K239" s="282"/>
      <c r="L239" s="282"/>
      <c r="M239" s="269"/>
      <c r="N239" s="283" t="str">
        <f t="array" ref="N239">if(C239=0,"",INDEX('Biaya Administrasi'!E:E, MATCH(I239, 'Biaya Administrasi'!B:B, 0)))</f>
        <v/>
      </c>
      <c r="O239" s="284" t="str">
        <f t="shared" si="2"/>
        <v/>
      </c>
      <c r="P239" s="285" t="str">
        <f t="array" ref="P239">if(J239=0,"",INDEX('Biaya Gratis Ongkir Xtra'!D:D, MATCH(J239, 'Biaya Gratis Ongkir Xtra'!C:C, 0)))</f>
        <v/>
      </c>
      <c r="Q239" s="286" t="str">
        <f t="shared" si="3"/>
        <v/>
      </c>
      <c r="R239" s="287" t="str">
        <f t="array" ref="R239">if(K239=0,"",INDEX('Biaya Gratis Ongkir Xtra'!$C$7:$C$10, MATCH(K239, 'Biaya Gratis Ongkir Xtra'!$B$7:$B$10, 0)))</f>
        <v/>
      </c>
      <c r="S239" s="288" t="str">
        <f t="shared" si="4"/>
        <v/>
      </c>
      <c r="T239" s="273" t="str">
        <f t="shared" si="13"/>
        <v/>
      </c>
      <c r="U239" s="287" t="str">
        <f t="array" ref="U239">if(C239=0,"",INDEX('Biaya Gratis Ongkir Xtra'!$C$3:$C$4, MATCH(L239, 'Biaya Gratis Ongkir Xtra'!$B$3:$B$4, 0)))</f>
        <v/>
      </c>
      <c r="V239" s="288" t="str">
        <f t="shared" si="6"/>
        <v/>
      </c>
      <c r="W239" s="264"/>
      <c r="X239" s="289" t="str">
        <f t="shared" si="7"/>
        <v/>
      </c>
      <c r="Y239" s="290" t="str">
        <f t="shared" si="8"/>
        <v/>
      </c>
      <c r="Z239" s="291" t="str">
        <f t="shared" si="9"/>
        <v/>
      </c>
      <c r="AA239" s="289" t="str">
        <f t="shared" si="10"/>
        <v/>
      </c>
      <c r="AB239" s="291" t="str">
        <f t="shared" si="11"/>
        <v/>
      </c>
      <c r="AC239" s="292" t="str">
        <f t="shared" si="12"/>
        <v/>
      </c>
      <c r="AD239" s="281"/>
      <c r="AE239" s="22"/>
    </row>
    <row r="240">
      <c r="A240" s="264"/>
      <c r="B240" s="267"/>
      <c r="C240" s="265"/>
      <c r="D240" s="265"/>
      <c r="E240" s="265"/>
      <c r="F240" s="266"/>
      <c r="G240" s="267" t="str">
        <f t="shared" si="1"/>
        <v/>
      </c>
      <c r="H240" s="264"/>
      <c r="I240" s="282"/>
      <c r="J240" s="282"/>
      <c r="K240" s="282"/>
      <c r="L240" s="282"/>
      <c r="M240" s="269"/>
      <c r="N240" s="283" t="str">
        <f t="array" ref="N240">if(C240=0,"",INDEX('Biaya Administrasi'!E:E, MATCH(I240, 'Biaya Administrasi'!B:B, 0)))</f>
        <v/>
      </c>
      <c r="O240" s="284" t="str">
        <f t="shared" si="2"/>
        <v/>
      </c>
      <c r="P240" s="285" t="str">
        <f t="array" ref="P240">if(J240=0,"",INDEX('Biaya Gratis Ongkir Xtra'!D:D, MATCH(J240, 'Biaya Gratis Ongkir Xtra'!C:C, 0)))</f>
        <v/>
      </c>
      <c r="Q240" s="286" t="str">
        <f t="shared" si="3"/>
        <v/>
      </c>
      <c r="R240" s="287" t="str">
        <f t="array" ref="R240">if(K240=0,"",INDEX('Biaya Gratis Ongkir Xtra'!$C$7:$C$10, MATCH(K240, 'Biaya Gratis Ongkir Xtra'!$B$7:$B$10, 0)))</f>
        <v/>
      </c>
      <c r="S240" s="288" t="str">
        <f t="shared" si="4"/>
        <v/>
      </c>
      <c r="T240" s="273" t="str">
        <f t="shared" si="13"/>
        <v/>
      </c>
      <c r="U240" s="287" t="str">
        <f t="array" ref="U240">if(C240=0,"",INDEX('Biaya Gratis Ongkir Xtra'!$C$3:$C$4, MATCH(L240, 'Biaya Gratis Ongkir Xtra'!$B$3:$B$4, 0)))</f>
        <v/>
      </c>
      <c r="V240" s="288" t="str">
        <f t="shared" si="6"/>
        <v/>
      </c>
      <c r="W240" s="264"/>
      <c r="X240" s="289" t="str">
        <f t="shared" si="7"/>
        <v/>
      </c>
      <c r="Y240" s="290" t="str">
        <f t="shared" si="8"/>
        <v/>
      </c>
      <c r="Z240" s="291" t="str">
        <f t="shared" si="9"/>
        <v/>
      </c>
      <c r="AA240" s="289" t="str">
        <f t="shared" si="10"/>
        <v/>
      </c>
      <c r="AB240" s="291" t="str">
        <f t="shared" si="11"/>
        <v/>
      </c>
      <c r="AC240" s="292" t="str">
        <f t="shared" si="12"/>
        <v/>
      </c>
      <c r="AD240" s="281"/>
      <c r="AE240" s="22"/>
    </row>
    <row r="241">
      <c r="A241" s="264"/>
      <c r="B241" s="267"/>
      <c r="C241" s="265"/>
      <c r="D241" s="265"/>
      <c r="E241" s="265"/>
      <c r="F241" s="266"/>
      <c r="G241" s="267" t="str">
        <f t="shared" si="1"/>
        <v/>
      </c>
      <c r="H241" s="264"/>
      <c r="I241" s="282"/>
      <c r="J241" s="282"/>
      <c r="K241" s="282"/>
      <c r="L241" s="282"/>
      <c r="M241" s="269"/>
      <c r="N241" s="283" t="str">
        <f t="array" ref="N241">if(C241=0,"",INDEX('Biaya Administrasi'!E:E, MATCH(I241, 'Biaya Administrasi'!B:B, 0)))</f>
        <v/>
      </c>
      <c r="O241" s="284" t="str">
        <f t="shared" si="2"/>
        <v/>
      </c>
      <c r="P241" s="285" t="str">
        <f t="array" ref="P241">if(J241=0,"",INDEX('Biaya Gratis Ongkir Xtra'!D:D, MATCH(J241, 'Biaya Gratis Ongkir Xtra'!C:C, 0)))</f>
        <v/>
      </c>
      <c r="Q241" s="286" t="str">
        <f t="shared" si="3"/>
        <v/>
      </c>
      <c r="R241" s="287" t="str">
        <f t="array" ref="R241">if(K241=0,"",INDEX('Biaya Gratis Ongkir Xtra'!$C$7:$C$10, MATCH(K241, 'Biaya Gratis Ongkir Xtra'!$B$7:$B$10, 0)))</f>
        <v/>
      </c>
      <c r="S241" s="288" t="str">
        <f t="shared" si="4"/>
        <v/>
      </c>
      <c r="T241" s="273" t="str">
        <f t="shared" si="13"/>
        <v/>
      </c>
      <c r="U241" s="287" t="str">
        <f t="array" ref="U241">if(C241=0,"",INDEX('Biaya Gratis Ongkir Xtra'!$C$3:$C$4, MATCH(L241, 'Biaya Gratis Ongkir Xtra'!$B$3:$B$4, 0)))</f>
        <v/>
      </c>
      <c r="V241" s="288" t="str">
        <f t="shared" si="6"/>
        <v/>
      </c>
      <c r="W241" s="264"/>
      <c r="X241" s="289" t="str">
        <f t="shared" si="7"/>
        <v/>
      </c>
      <c r="Y241" s="290" t="str">
        <f t="shared" si="8"/>
        <v/>
      </c>
      <c r="Z241" s="291" t="str">
        <f t="shared" si="9"/>
        <v/>
      </c>
      <c r="AA241" s="289" t="str">
        <f t="shared" si="10"/>
        <v/>
      </c>
      <c r="AB241" s="291" t="str">
        <f t="shared" si="11"/>
        <v/>
      </c>
      <c r="AC241" s="292" t="str">
        <f t="shared" si="12"/>
        <v/>
      </c>
      <c r="AD241" s="281"/>
      <c r="AE241" s="22"/>
    </row>
    <row r="242">
      <c r="A242" s="264"/>
      <c r="B242" s="267"/>
      <c r="C242" s="265"/>
      <c r="D242" s="265"/>
      <c r="E242" s="265"/>
      <c r="F242" s="266"/>
      <c r="G242" s="267" t="str">
        <f t="shared" si="1"/>
        <v/>
      </c>
      <c r="H242" s="264"/>
      <c r="I242" s="282"/>
      <c r="J242" s="282"/>
      <c r="K242" s="282"/>
      <c r="L242" s="282"/>
      <c r="M242" s="269"/>
      <c r="N242" s="283" t="str">
        <f t="array" ref="N242">if(C242=0,"",INDEX('Biaya Administrasi'!E:E, MATCH(I242, 'Biaya Administrasi'!B:B, 0)))</f>
        <v/>
      </c>
      <c r="O242" s="284" t="str">
        <f t="shared" si="2"/>
        <v/>
      </c>
      <c r="P242" s="285" t="str">
        <f t="array" ref="P242">if(J242=0,"",INDEX('Biaya Gratis Ongkir Xtra'!D:D, MATCH(J242, 'Biaya Gratis Ongkir Xtra'!C:C, 0)))</f>
        <v/>
      </c>
      <c r="Q242" s="286" t="str">
        <f t="shared" si="3"/>
        <v/>
      </c>
      <c r="R242" s="287" t="str">
        <f t="array" ref="R242">if(K242=0,"",INDEX('Biaya Gratis Ongkir Xtra'!$C$7:$C$10, MATCH(K242, 'Biaya Gratis Ongkir Xtra'!$B$7:$B$10, 0)))</f>
        <v/>
      </c>
      <c r="S242" s="288" t="str">
        <f t="shared" si="4"/>
        <v/>
      </c>
      <c r="T242" s="273" t="str">
        <f t="shared" si="13"/>
        <v/>
      </c>
      <c r="U242" s="287" t="str">
        <f t="array" ref="U242">if(C242=0,"",INDEX('Biaya Gratis Ongkir Xtra'!$C$3:$C$4, MATCH(L242, 'Biaya Gratis Ongkir Xtra'!$B$3:$B$4, 0)))</f>
        <v/>
      </c>
      <c r="V242" s="288" t="str">
        <f t="shared" si="6"/>
        <v/>
      </c>
      <c r="W242" s="264"/>
      <c r="X242" s="289" t="str">
        <f t="shared" si="7"/>
        <v/>
      </c>
      <c r="Y242" s="290" t="str">
        <f t="shared" si="8"/>
        <v/>
      </c>
      <c r="Z242" s="291" t="str">
        <f t="shared" si="9"/>
        <v/>
      </c>
      <c r="AA242" s="289" t="str">
        <f t="shared" si="10"/>
        <v/>
      </c>
      <c r="AB242" s="291" t="str">
        <f t="shared" si="11"/>
        <v/>
      </c>
      <c r="AC242" s="292" t="str">
        <f t="shared" si="12"/>
        <v/>
      </c>
      <c r="AD242" s="281"/>
      <c r="AE242" s="22"/>
    </row>
    <row r="243">
      <c r="A243" s="264"/>
      <c r="B243" s="267"/>
      <c r="C243" s="265"/>
      <c r="D243" s="265"/>
      <c r="E243" s="265"/>
      <c r="F243" s="266"/>
      <c r="G243" s="267" t="str">
        <f t="shared" si="1"/>
        <v/>
      </c>
      <c r="H243" s="264"/>
      <c r="I243" s="282"/>
      <c r="J243" s="282"/>
      <c r="K243" s="282"/>
      <c r="L243" s="282"/>
      <c r="M243" s="269"/>
      <c r="N243" s="283" t="str">
        <f t="array" ref="N243">if(C243=0,"",INDEX('Biaya Administrasi'!E:E, MATCH(I243, 'Biaya Administrasi'!B:B, 0)))</f>
        <v/>
      </c>
      <c r="O243" s="284" t="str">
        <f t="shared" si="2"/>
        <v/>
      </c>
      <c r="P243" s="285" t="str">
        <f t="array" ref="P243">if(J243=0,"",INDEX('Biaya Gratis Ongkir Xtra'!D:D, MATCH(J243, 'Biaya Gratis Ongkir Xtra'!C:C, 0)))</f>
        <v/>
      </c>
      <c r="Q243" s="286" t="str">
        <f t="shared" si="3"/>
        <v/>
      </c>
      <c r="R243" s="287" t="str">
        <f t="array" ref="R243">if(K243=0,"",INDEX('Biaya Gratis Ongkir Xtra'!$C$7:$C$10, MATCH(K243, 'Biaya Gratis Ongkir Xtra'!$B$7:$B$10, 0)))</f>
        <v/>
      </c>
      <c r="S243" s="288" t="str">
        <f t="shared" si="4"/>
        <v/>
      </c>
      <c r="T243" s="273" t="str">
        <f t="shared" si="13"/>
        <v/>
      </c>
      <c r="U243" s="287" t="str">
        <f t="array" ref="U243">if(C243=0,"",INDEX('Biaya Gratis Ongkir Xtra'!$C$3:$C$4, MATCH(L243, 'Biaya Gratis Ongkir Xtra'!$B$3:$B$4, 0)))</f>
        <v/>
      </c>
      <c r="V243" s="288" t="str">
        <f t="shared" si="6"/>
        <v/>
      </c>
      <c r="W243" s="264"/>
      <c r="X243" s="289" t="str">
        <f t="shared" si="7"/>
        <v/>
      </c>
      <c r="Y243" s="290" t="str">
        <f t="shared" si="8"/>
        <v/>
      </c>
      <c r="Z243" s="291" t="str">
        <f t="shared" si="9"/>
        <v/>
      </c>
      <c r="AA243" s="289" t="str">
        <f t="shared" si="10"/>
        <v/>
      </c>
      <c r="AB243" s="291" t="str">
        <f t="shared" si="11"/>
        <v/>
      </c>
      <c r="AC243" s="292" t="str">
        <f t="shared" si="12"/>
        <v/>
      </c>
      <c r="AD243" s="281"/>
      <c r="AE243" s="22"/>
    </row>
    <row r="244">
      <c r="A244" s="264"/>
      <c r="B244" s="267"/>
      <c r="C244" s="265"/>
      <c r="D244" s="265"/>
      <c r="E244" s="265"/>
      <c r="F244" s="266"/>
      <c r="G244" s="267" t="str">
        <f t="shared" si="1"/>
        <v/>
      </c>
      <c r="H244" s="264"/>
      <c r="I244" s="282"/>
      <c r="J244" s="282"/>
      <c r="K244" s="282"/>
      <c r="L244" s="282"/>
      <c r="M244" s="269"/>
      <c r="N244" s="283" t="str">
        <f t="array" ref="N244">if(C244=0,"",INDEX('Biaya Administrasi'!E:E, MATCH(I244, 'Biaya Administrasi'!B:B, 0)))</f>
        <v/>
      </c>
      <c r="O244" s="284" t="str">
        <f t="shared" si="2"/>
        <v/>
      </c>
      <c r="P244" s="285" t="str">
        <f t="array" ref="P244">if(J244=0,"",INDEX('Biaya Gratis Ongkir Xtra'!D:D, MATCH(J244, 'Biaya Gratis Ongkir Xtra'!C:C, 0)))</f>
        <v/>
      </c>
      <c r="Q244" s="286" t="str">
        <f t="shared" si="3"/>
        <v/>
      </c>
      <c r="R244" s="287" t="str">
        <f t="array" ref="R244">if(K244=0,"",INDEX('Biaya Gratis Ongkir Xtra'!$C$7:$C$10, MATCH(K244, 'Biaya Gratis Ongkir Xtra'!$B$7:$B$10, 0)))</f>
        <v/>
      </c>
      <c r="S244" s="288" t="str">
        <f t="shared" si="4"/>
        <v/>
      </c>
      <c r="T244" s="273" t="str">
        <f t="shared" si="13"/>
        <v/>
      </c>
      <c r="U244" s="287" t="str">
        <f t="array" ref="U244">if(C244=0,"",INDEX('Biaya Gratis Ongkir Xtra'!$C$3:$C$4, MATCH(L244, 'Biaya Gratis Ongkir Xtra'!$B$3:$B$4, 0)))</f>
        <v/>
      </c>
      <c r="V244" s="288" t="str">
        <f t="shared" si="6"/>
        <v/>
      </c>
      <c r="W244" s="264"/>
      <c r="X244" s="289" t="str">
        <f t="shared" si="7"/>
        <v/>
      </c>
      <c r="Y244" s="290" t="str">
        <f t="shared" si="8"/>
        <v/>
      </c>
      <c r="Z244" s="291" t="str">
        <f t="shared" si="9"/>
        <v/>
      </c>
      <c r="AA244" s="289" t="str">
        <f t="shared" si="10"/>
        <v/>
      </c>
      <c r="AB244" s="291" t="str">
        <f t="shared" si="11"/>
        <v/>
      </c>
      <c r="AC244" s="292" t="str">
        <f t="shared" si="12"/>
        <v/>
      </c>
      <c r="AD244" s="281"/>
      <c r="AE244" s="22"/>
    </row>
    <row r="245">
      <c r="A245" s="264"/>
      <c r="B245" s="267"/>
      <c r="C245" s="265"/>
      <c r="D245" s="265"/>
      <c r="E245" s="265"/>
      <c r="F245" s="266"/>
      <c r="G245" s="267" t="str">
        <f t="shared" si="1"/>
        <v/>
      </c>
      <c r="H245" s="264"/>
      <c r="I245" s="282"/>
      <c r="J245" s="282"/>
      <c r="K245" s="282"/>
      <c r="L245" s="282"/>
      <c r="M245" s="269"/>
      <c r="N245" s="283" t="str">
        <f t="array" ref="N245">if(C245=0,"",INDEX('Biaya Administrasi'!E:E, MATCH(I245, 'Biaya Administrasi'!B:B, 0)))</f>
        <v/>
      </c>
      <c r="O245" s="284" t="str">
        <f t="shared" si="2"/>
        <v/>
      </c>
      <c r="P245" s="285" t="str">
        <f t="array" ref="P245">if(J245=0,"",INDEX('Biaya Gratis Ongkir Xtra'!D:D, MATCH(J245, 'Biaya Gratis Ongkir Xtra'!C:C, 0)))</f>
        <v/>
      </c>
      <c r="Q245" s="286" t="str">
        <f t="shared" si="3"/>
        <v/>
      </c>
      <c r="R245" s="287" t="str">
        <f t="array" ref="R245">if(K245=0,"",INDEX('Biaya Gratis Ongkir Xtra'!$C$7:$C$10, MATCH(K245, 'Biaya Gratis Ongkir Xtra'!$B$7:$B$10, 0)))</f>
        <v/>
      </c>
      <c r="S245" s="288" t="str">
        <f t="shared" si="4"/>
        <v/>
      </c>
      <c r="T245" s="273" t="str">
        <f t="shared" si="13"/>
        <v/>
      </c>
      <c r="U245" s="287" t="str">
        <f t="array" ref="U245">if(C245=0,"",INDEX('Biaya Gratis Ongkir Xtra'!$C$3:$C$4, MATCH(L245, 'Biaya Gratis Ongkir Xtra'!$B$3:$B$4, 0)))</f>
        <v/>
      </c>
      <c r="V245" s="288" t="str">
        <f t="shared" si="6"/>
        <v/>
      </c>
      <c r="W245" s="264"/>
      <c r="X245" s="289" t="str">
        <f t="shared" si="7"/>
        <v/>
      </c>
      <c r="Y245" s="290" t="str">
        <f t="shared" si="8"/>
        <v/>
      </c>
      <c r="Z245" s="291" t="str">
        <f t="shared" si="9"/>
        <v/>
      </c>
      <c r="AA245" s="289" t="str">
        <f t="shared" si="10"/>
        <v/>
      </c>
      <c r="AB245" s="291" t="str">
        <f t="shared" si="11"/>
        <v/>
      </c>
      <c r="AC245" s="292" t="str">
        <f t="shared" si="12"/>
        <v/>
      </c>
      <c r="AD245" s="281"/>
      <c r="AE245" s="22"/>
    </row>
    <row r="246">
      <c r="A246" s="264"/>
      <c r="B246" s="267"/>
      <c r="C246" s="265"/>
      <c r="D246" s="265"/>
      <c r="E246" s="265"/>
      <c r="F246" s="266"/>
      <c r="G246" s="267" t="str">
        <f t="shared" si="1"/>
        <v/>
      </c>
      <c r="H246" s="264"/>
      <c r="I246" s="282"/>
      <c r="J246" s="282"/>
      <c r="K246" s="282"/>
      <c r="L246" s="282"/>
      <c r="M246" s="269"/>
      <c r="N246" s="283" t="str">
        <f t="array" ref="N246">if(C246=0,"",INDEX('Biaya Administrasi'!E:E, MATCH(I246, 'Biaya Administrasi'!B:B, 0)))</f>
        <v/>
      </c>
      <c r="O246" s="284" t="str">
        <f t="shared" si="2"/>
        <v/>
      </c>
      <c r="P246" s="285" t="str">
        <f t="array" ref="P246">if(J246=0,"",INDEX('Biaya Gratis Ongkir Xtra'!D:D, MATCH(J246, 'Biaya Gratis Ongkir Xtra'!C:C, 0)))</f>
        <v/>
      </c>
      <c r="Q246" s="286" t="str">
        <f t="shared" si="3"/>
        <v/>
      </c>
      <c r="R246" s="287" t="str">
        <f t="array" ref="R246">if(K246=0,"",INDEX('Biaya Gratis Ongkir Xtra'!$C$7:$C$10, MATCH(K246, 'Biaya Gratis Ongkir Xtra'!$B$7:$B$10, 0)))</f>
        <v/>
      </c>
      <c r="S246" s="288" t="str">
        <f t="shared" si="4"/>
        <v/>
      </c>
      <c r="T246" s="273" t="str">
        <f t="shared" si="13"/>
        <v/>
      </c>
      <c r="U246" s="287" t="str">
        <f t="array" ref="U246">if(C246=0,"",INDEX('Biaya Gratis Ongkir Xtra'!$C$3:$C$4, MATCH(L246, 'Biaya Gratis Ongkir Xtra'!$B$3:$B$4, 0)))</f>
        <v/>
      </c>
      <c r="V246" s="288" t="str">
        <f t="shared" si="6"/>
        <v/>
      </c>
      <c r="W246" s="264"/>
      <c r="X246" s="289" t="str">
        <f t="shared" si="7"/>
        <v/>
      </c>
      <c r="Y246" s="290" t="str">
        <f t="shared" si="8"/>
        <v/>
      </c>
      <c r="Z246" s="291" t="str">
        <f t="shared" si="9"/>
        <v/>
      </c>
      <c r="AA246" s="289" t="str">
        <f t="shared" si="10"/>
        <v/>
      </c>
      <c r="AB246" s="291" t="str">
        <f t="shared" si="11"/>
        <v/>
      </c>
      <c r="AC246" s="292" t="str">
        <f t="shared" si="12"/>
        <v/>
      </c>
      <c r="AD246" s="281"/>
      <c r="AE246" s="22"/>
    </row>
    <row r="247">
      <c r="A247" s="264"/>
      <c r="B247" s="267"/>
      <c r="C247" s="265"/>
      <c r="D247" s="265"/>
      <c r="E247" s="265"/>
      <c r="F247" s="266"/>
      <c r="G247" s="267" t="str">
        <f t="shared" si="1"/>
        <v/>
      </c>
      <c r="H247" s="264"/>
      <c r="I247" s="282"/>
      <c r="J247" s="282"/>
      <c r="K247" s="282"/>
      <c r="L247" s="282"/>
      <c r="M247" s="269"/>
      <c r="N247" s="283" t="str">
        <f t="array" ref="N247">if(C247=0,"",INDEX('Biaya Administrasi'!E:E, MATCH(I247, 'Biaya Administrasi'!B:B, 0)))</f>
        <v/>
      </c>
      <c r="O247" s="284" t="str">
        <f t="shared" si="2"/>
        <v/>
      </c>
      <c r="P247" s="285" t="str">
        <f t="array" ref="P247">if(J247=0,"",INDEX('Biaya Gratis Ongkir Xtra'!D:D, MATCH(J247, 'Biaya Gratis Ongkir Xtra'!C:C, 0)))</f>
        <v/>
      </c>
      <c r="Q247" s="286" t="str">
        <f t="shared" si="3"/>
        <v/>
      </c>
      <c r="R247" s="287" t="str">
        <f t="array" ref="R247">if(K247=0,"",INDEX('Biaya Gratis Ongkir Xtra'!$C$7:$C$10, MATCH(K247, 'Biaya Gratis Ongkir Xtra'!$B$7:$B$10, 0)))</f>
        <v/>
      </c>
      <c r="S247" s="288" t="str">
        <f t="shared" si="4"/>
        <v/>
      </c>
      <c r="T247" s="273" t="str">
        <f t="shared" si="13"/>
        <v/>
      </c>
      <c r="U247" s="287" t="str">
        <f t="array" ref="U247">if(C247=0,"",INDEX('Biaya Gratis Ongkir Xtra'!$C$3:$C$4, MATCH(L247, 'Biaya Gratis Ongkir Xtra'!$B$3:$B$4, 0)))</f>
        <v/>
      </c>
      <c r="V247" s="288" t="str">
        <f t="shared" si="6"/>
        <v/>
      </c>
      <c r="W247" s="264"/>
      <c r="X247" s="289" t="str">
        <f t="shared" si="7"/>
        <v/>
      </c>
      <c r="Y247" s="290" t="str">
        <f t="shared" si="8"/>
        <v/>
      </c>
      <c r="Z247" s="291" t="str">
        <f t="shared" si="9"/>
        <v/>
      </c>
      <c r="AA247" s="289" t="str">
        <f t="shared" si="10"/>
        <v/>
      </c>
      <c r="AB247" s="291" t="str">
        <f t="shared" si="11"/>
        <v/>
      </c>
      <c r="AC247" s="292" t="str">
        <f t="shared" si="12"/>
        <v/>
      </c>
      <c r="AD247" s="281"/>
      <c r="AE247" s="22"/>
    </row>
    <row r="248">
      <c r="A248" s="264"/>
      <c r="B248" s="267"/>
      <c r="C248" s="265"/>
      <c r="D248" s="265"/>
      <c r="E248" s="265"/>
      <c r="F248" s="266"/>
      <c r="G248" s="267" t="str">
        <f t="shared" si="1"/>
        <v/>
      </c>
      <c r="H248" s="264"/>
      <c r="I248" s="282"/>
      <c r="J248" s="282"/>
      <c r="K248" s="282"/>
      <c r="L248" s="282"/>
      <c r="M248" s="269"/>
      <c r="N248" s="283" t="str">
        <f t="array" ref="N248">if(C248=0,"",INDEX('Biaya Administrasi'!E:E, MATCH(I248, 'Biaya Administrasi'!B:B, 0)))</f>
        <v/>
      </c>
      <c r="O248" s="284" t="str">
        <f t="shared" si="2"/>
        <v/>
      </c>
      <c r="P248" s="285" t="str">
        <f t="array" ref="P248">if(J248=0,"",INDEX('Biaya Gratis Ongkir Xtra'!D:D, MATCH(J248, 'Biaya Gratis Ongkir Xtra'!C:C, 0)))</f>
        <v/>
      </c>
      <c r="Q248" s="286" t="str">
        <f t="shared" si="3"/>
        <v/>
      </c>
      <c r="R248" s="287" t="str">
        <f t="array" ref="R248">if(K248=0,"",INDEX('Biaya Gratis Ongkir Xtra'!$C$7:$C$10, MATCH(K248, 'Biaya Gratis Ongkir Xtra'!$B$7:$B$10, 0)))</f>
        <v/>
      </c>
      <c r="S248" s="288" t="str">
        <f t="shared" si="4"/>
        <v/>
      </c>
      <c r="T248" s="273" t="str">
        <f t="shared" si="13"/>
        <v/>
      </c>
      <c r="U248" s="287" t="str">
        <f t="array" ref="U248">if(C248=0,"",INDEX('Biaya Gratis Ongkir Xtra'!$C$3:$C$4, MATCH(L248, 'Biaya Gratis Ongkir Xtra'!$B$3:$B$4, 0)))</f>
        <v/>
      </c>
      <c r="V248" s="288" t="str">
        <f t="shared" si="6"/>
        <v/>
      </c>
      <c r="W248" s="264"/>
      <c r="X248" s="289" t="str">
        <f t="shared" si="7"/>
        <v/>
      </c>
      <c r="Y248" s="290" t="str">
        <f t="shared" si="8"/>
        <v/>
      </c>
      <c r="Z248" s="291" t="str">
        <f t="shared" si="9"/>
        <v/>
      </c>
      <c r="AA248" s="289" t="str">
        <f t="shared" si="10"/>
        <v/>
      </c>
      <c r="AB248" s="291" t="str">
        <f t="shared" si="11"/>
        <v/>
      </c>
      <c r="AC248" s="292" t="str">
        <f t="shared" si="12"/>
        <v/>
      </c>
      <c r="AD248" s="281"/>
      <c r="AE248" s="22"/>
    </row>
    <row r="249">
      <c r="A249" s="264"/>
      <c r="B249" s="267"/>
      <c r="C249" s="265"/>
      <c r="D249" s="265"/>
      <c r="E249" s="265"/>
      <c r="F249" s="266"/>
      <c r="G249" s="267" t="str">
        <f t="shared" si="1"/>
        <v/>
      </c>
      <c r="H249" s="264"/>
      <c r="I249" s="282"/>
      <c r="J249" s="282"/>
      <c r="K249" s="282"/>
      <c r="L249" s="282"/>
      <c r="M249" s="269"/>
      <c r="N249" s="283" t="str">
        <f t="array" ref="N249">if(C249=0,"",INDEX('Biaya Administrasi'!E:E, MATCH(I249, 'Biaya Administrasi'!B:B, 0)))</f>
        <v/>
      </c>
      <c r="O249" s="284" t="str">
        <f t="shared" si="2"/>
        <v/>
      </c>
      <c r="P249" s="285" t="str">
        <f t="array" ref="P249">if(J249=0,"",INDEX('Biaya Gratis Ongkir Xtra'!D:D, MATCH(J249, 'Biaya Gratis Ongkir Xtra'!C:C, 0)))</f>
        <v/>
      </c>
      <c r="Q249" s="286" t="str">
        <f t="shared" si="3"/>
        <v/>
      </c>
      <c r="R249" s="287" t="str">
        <f t="array" ref="R249">if(K249=0,"",INDEX('Biaya Gratis Ongkir Xtra'!$C$7:$C$10, MATCH(K249, 'Biaya Gratis Ongkir Xtra'!$B$7:$B$10, 0)))</f>
        <v/>
      </c>
      <c r="S249" s="288" t="str">
        <f t="shared" si="4"/>
        <v/>
      </c>
      <c r="T249" s="273" t="str">
        <f t="shared" si="13"/>
        <v/>
      </c>
      <c r="U249" s="287" t="str">
        <f t="array" ref="U249">if(C249=0,"",INDEX('Biaya Gratis Ongkir Xtra'!$C$3:$C$4, MATCH(L249, 'Biaya Gratis Ongkir Xtra'!$B$3:$B$4, 0)))</f>
        <v/>
      </c>
      <c r="V249" s="288" t="str">
        <f t="shared" si="6"/>
        <v/>
      </c>
      <c r="W249" s="264"/>
      <c r="X249" s="289" t="str">
        <f t="shared" si="7"/>
        <v/>
      </c>
      <c r="Y249" s="290" t="str">
        <f t="shared" si="8"/>
        <v/>
      </c>
      <c r="Z249" s="291" t="str">
        <f t="shared" si="9"/>
        <v/>
      </c>
      <c r="AA249" s="289" t="str">
        <f t="shared" si="10"/>
        <v/>
      </c>
      <c r="AB249" s="291" t="str">
        <f t="shared" si="11"/>
        <v/>
      </c>
      <c r="AC249" s="292" t="str">
        <f t="shared" si="12"/>
        <v/>
      </c>
      <c r="AD249" s="281"/>
      <c r="AE249" s="22"/>
    </row>
    <row r="250">
      <c r="A250" s="264"/>
      <c r="B250" s="267"/>
      <c r="C250" s="265"/>
      <c r="D250" s="265"/>
      <c r="E250" s="265"/>
      <c r="F250" s="266"/>
      <c r="G250" s="267" t="str">
        <f t="shared" si="1"/>
        <v/>
      </c>
      <c r="H250" s="264"/>
      <c r="I250" s="282"/>
      <c r="J250" s="282"/>
      <c r="K250" s="282"/>
      <c r="L250" s="282"/>
      <c r="M250" s="269"/>
      <c r="N250" s="283" t="str">
        <f t="array" ref="N250">if(C250=0,"",INDEX('Biaya Administrasi'!E:E, MATCH(I250, 'Biaya Administrasi'!B:B, 0)))</f>
        <v/>
      </c>
      <c r="O250" s="284" t="str">
        <f t="shared" si="2"/>
        <v/>
      </c>
      <c r="P250" s="285" t="str">
        <f t="array" ref="P250">if(J250=0,"",INDEX('Biaya Gratis Ongkir Xtra'!D:D, MATCH(J250, 'Biaya Gratis Ongkir Xtra'!C:C, 0)))</f>
        <v/>
      </c>
      <c r="Q250" s="286" t="str">
        <f t="shared" si="3"/>
        <v/>
      </c>
      <c r="R250" s="287" t="str">
        <f t="array" ref="R250">if(K250=0,"",INDEX('Biaya Gratis Ongkir Xtra'!$C$7:$C$10, MATCH(K250, 'Biaya Gratis Ongkir Xtra'!$B$7:$B$10, 0)))</f>
        <v/>
      </c>
      <c r="S250" s="288" t="str">
        <f t="shared" si="4"/>
        <v/>
      </c>
      <c r="T250" s="273" t="str">
        <f t="shared" si="13"/>
        <v/>
      </c>
      <c r="U250" s="287" t="str">
        <f t="array" ref="U250">if(C250=0,"",INDEX('Biaya Gratis Ongkir Xtra'!$C$3:$C$4, MATCH(L250, 'Biaya Gratis Ongkir Xtra'!$B$3:$B$4, 0)))</f>
        <v/>
      </c>
      <c r="V250" s="288" t="str">
        <f t="shared" si="6"/>
        <v/>
      </c>
      <c r="W250" s="264"/>
      <c r="X250" s="289" t="str">
        <f t="shared" si="7"/>
        <v/>
      </c>
      <c r="Y250" s="290" t="str">
        <f t="shared" si="8"/>
        <v/>
      </c>
      <c r="Z250" s="291" t="str">
        <f t="shared" si="9"/>
        <v/>
      </c>
      <c r="AA250" s="289" t="str">
        <f t="shared" si="10"/>
        <v/>
      </c>
      <c r="AB250" s="291" t="str">
        <f t="shared" si="11"/>
        <v/>
      </c>
      <c r="AC250" s="292" t="str">
        <f t="shared" si="12"/>
        <v/>
      </c>
      <c r="AD250" s="281"/>
      <c r="AE250" s="22"/>
    </row>
    <row r="251">
      <c r="A251" s="264"/>
      <c r="B251" s="267"/>
      <c r="C251" s="265"/>
      <c r="D251" s="265"/>
      <c r="E251" s="265"/>
      <c r="F251" s="266"/>
      <c r="G251" s="267" t="str">
        <f t="shared" si="1"/>
        <v/>
      </c>
      <c r="H251" s="264"/>
      <c r="I251" s="282"/>
      <c r="J251" s="282"/>
      <c r="K251" s="282"/>
      <c r="L251" s="282"/>
      <c r="M251" s="269"/>
      <c r="N251" s="283" t="str">
        <f t="array" ref="N251">if(C251=0,"",INDEX('Biaya Administrasi'!E:E, MATCH(I251, 'Biaya Administrasi'!B:B, 0)))</f>
        <v/>
      </c>
      <c r="O251" s="284" t="str">
        <f t="shared" si="2"/>
        <v/>
      </c>
      <c r="P251" s="285" t="str">
        <f t="array" ref="P251">if(J251=0,"",INDEX('Biaya Gratis Ongkir Xtra'!D:D, MATCH(J251, 'Biaya Gratis Ongkir Xtra'!C:C, 0)))</f>
        <v/>
      </c>
      <c r="Q251" s="286" t="str">
        <f t="shared" si="3"/>
        <v/>
      </c>
      <c r="R251" s="287" t="str">
        <f t="array" ref="R251">if(K251=0,"",INDEX('Biaya Gratis Ongkir Xtra'!$C$7:$C$10, MATCH(K251, 'Biaya Gratis Ongkir Xtra'!$B$7:$B$10, 0)))</f>
        <v/>
      </c>
      <c r="S251" s="288" t="str">
        <f t="shared" si="4"/>
        <v/>
      </c>
      <c r="T251" s="273" t="str">
        <f t="shared" si="13"/>
        <v/>
      </c>
      <c r="U251" s="287" t="str">
        <f t="array" ref="U251">if(C251=0,"",INDEX('Biaya Gratis Ongkir Xtra'!$C$3:$C$4, MATCH(L251, 'Biaya Gratis Ongkir Xtra'!$B$3:$B$4, 0)))</f>
        <v/>
      </c>
      <c r="V251" s="288" t="str">
        <f t="shared" si="6"/>
        <v/>
      </c>
      <c r="W251" s="264"/>
      <c r="X251" s="289" t="str">
        <f t="shared" si="7"/>
        <v/>
      </c>
      <c r="Y251" s="290" t="str">
        <f t="shared" si="8"/>
        <v/>
      </c>
      <c r="Z251" s="291" t="str">
        <f t="shared" si="9"/>
        <v/>
      </c>
      <c r="AA251" s="289" t="str">
        <f t="shared" si="10"/>
        <v/>
      </c>
      <c r="AB251" s="291" t="str">
        <f t="shared" si="11"/>
        <v/>
      </c>
      <c r="AC251" s="292" t="str">
        <f t="shared" si="12"/>
        <v/>
      </c>
      <c r="AD251" s="281"/>
      <c r="AE251" s="22"/>
    </row>
    <row r="252">
      <c r="A252" s="264"/>
      <c r="B252" s="267"/>
      <c r="C252" s="265"/>
      <c r="D252" s="265"/>
      <c r="E252" s="265"/>
      <c r="F252" s="266"/>
      <c r="G252" s="267" t="str">
        <f t="shared" si="1"/>
        <v/>
      </c>
      <c r="H252" s="264"/>
      <c r="I252" s="282"/>
      <c r="J252" s="282"/>
      <c r="K252" s="282"/>
      <c r="L252" s="282"/>
      <c r="M252" s="269"/>
      <c r="N252" s="283" t="str">
        <f t="array" ref="N252">if(C252=0,"",INDEX('Biaya Administrasi'!E:E, MATCH(I252, 'Biaya Administrasi'!B:B, 0)))</f>
        <v/>
      </c>
      <c r="O252" s="284" t="str">
        <f t="shared" si="2"/>
        <v/>
      </c>
      <c r="P252" s="285" t="str">
        <f t="array" ref="P252">if(J252=0,"",INDEX('Biaya Gratis Ongkir Xtra'!D:D, MATCH(J252, 'Biaya Gratis Ongkir Xtra'!C:C, 0)))</f>
        <v/>
      </c>
      <c r="Q252" s="286" t="str">
        <f t="shared" si="3"/>
        <v/>
      </c>
      <c r="R252" s="287" t="str">
        <f t="array" ref="R252">if(K252=0,"",INDEX('Biaya Gratis Ongkir Xtra'!$C$7:$C$10, MATCH(K252, 'Biaya Gratis Ongkir Xtra'!$B$7:$B$10, 0)))</f>
        <v/>
      </c>
      <c r="S252" s="288" t="str">
        <f t="shared" si="4"/>
        <v/>
      </c>
      <c r="T252" s="273" t="str">
        <f t="shared" si="13"/>
        <v/>
      </c>
      <c r="U252" s="287" t="str">
        <f t="array" ref="U252">if(C252=0,"",INDEX('Biaya Gratis Ongkir Xtra'!$C$3:$C$4, MATCH(L252, 'Biaya Gratis Ongkir Xtra'!$B$3:$B$4, 0)))</f>
        <v/>
      </c>
      <c r="V252" s="288" t="str">
        <f t="shared" si="6"/>
        <v/>
      </c>
      <c r="W252" s="264"/>
      <c r="X252" s="289" t="str">
        <f t="shared" si="7"/>
        <v/>
      </c>
      <c r="Y252" s="290" t="str">
        <f t="shared" si="8"/>
        <v/>
      </c>
      <c r="Z252" s="291" t="str">
        <f t="shared" si="9"/>
        <v/>
      </c>
      <c r="AA252" s="289" t="str">
        <f t="shared" si="10"/>
        <v/>
      </c>
      <c r="AB252" s="291" t="str">
        <f t="shared" si="11"/>
        <v/>
      </c>
      <c r="AC252" s="292" t="str">
        <f t="shared" si="12"/>
        <v/>
      </c>
      <c r="AD252" s="281"/>
      <c r="AE252" s="22"/>
    </row>
    <row r="253">
      <c r="A253" s="264"/>
      <c r="B253" s="267"/>
      <c r="C253" s="265"/>
      <c r="D253" s="265"/>
      <c r="E253" s="265"/>
      <c r="F253" s="266"/>
      <c r="G253" s="267" t="str">
        <f t="shared" si="1"/>
        <v/>
      </c>
      <c r="H253" s="264"/>
      <c r="I253" s="282"/>
      <c r="J253" s="282"/>
      <c r="K253" s="282"/>
      <c r="L253" s="282"/>
      <c r="M253" s="269"/>
      <c r="N253" s="283" t="str">
        <f t="array" ref="N253">if(C253=0,"",INDEX('Biaya Administrasi'!E:E, MATCH(I253, 'Biaya Administrasi'!B:B, 0)))</f>
        <v/>
      </c>
      <c r="O253" s="284" t="str">
        <f t="shared" si="2"/>
        <v/>
      </c>
      <c r="P253" s="285" t="str">
        <f t="array" ref="P253">if(J253=0,"",INDEX('Biaya Gratis Ongkir Xtra'!D:D, MATCH(J253, 'Biaya Gratis Ongkir Xtra'!C:C, 0)))</f>
        <v/>
      </c>
      <c r="Q253" s="286" t="str">
        <f t="shared" si="3"/>
        <v/>
      </c>
      <c r="R253" s="287" t="str">
        <f t="array" ref="R253">if(K253=0,"",INDEX('Biaya Gratis Ongkir Xtra'!$C$7:$C$10, MATCH(K253, 'Biaya Gratis Ongkir Xtra'!$B$7:$B$10, 0)))</f>
        <v/>
      </c>
      <c r="S253" s="288" t="str">
        <f t="shared" si="4"/>
        <v/>
      </c>
      <c r="T253" s="273" t="str">
        <f t="shared" si="13"/>
        <v/>
      </c>
      <c r="U253" s="287" t="str">
        <f t="array" ref="U253">if(C253=0,"",INDEX('Biaya Gratis Ongkir Xtra'!$C$3:$C$4, MATCH(L253, 'Biaya Gratis Ongkir Xtra'!$B$3:$B$4, 0)))</f>
        <v/>
      </c>
      <c r="V253" s="288" t="str">
        <f t="shared" si="6"/>
        <v/>
      </c>
      <c r="W253" s="264"/>
      <c r="X253" s="289" t="str">
        <f t="shared" si="7"/>
        <v/>
      </c>
      <c r="Y253" s="290" t="str">
        <f t="shared" si="8"/>
        <v/>
      </c>
      <c r="Z253" s="291" t="str">
        <f t="shared" si="9"/>
        <v/>
      </c>
      <c r="AA253" s="289" t="str">
        <f t="shared" si="10"/>
        <v/>
      </c>
      <c r="AB253" s="291" t="str">
        <f t="shared" si="11"/>
        <v/>
      </c>
      <c r="AC253" s="292" t="str">
        <f t="shared" si="12"/>
        <v/>
      </c>
      <c r="AD253" s="281"/>
      <c r="AE253" s="22"/>
    </row>
    <row r="254">
      <c r="A254" s="264"/>
      <c r="B254" s="267"/>
      <c r="C254" s="265"/>
      <c r="D254" s="265"/>
      <c r="E254" s="265"/>
      <c r="F254" s="266"/>
      <c r="G254" s="267" t="str">
        <f t="shared" si="1"/>
        <v/>
      </c>
      <c r="H254" s="264"/>
      <c r="I254" s="282"/>
      <c r="J254" s="282"/>
      <c r="K254" s="282"/>
      <c r="L254" s="282"/>
      <c r="M254" s="269"/>
      <c r="N254" s="283" t="str">
        <f t="array" ref="N254">if(C254=0,"",INDEX('Biaya Administrasi'!E:E, MATCH(I254, 'Biaya Administrasi'!B:B, 0)))</f>
        <v/>
      </c>
      <c r="O254" s="284" t="str">
        <f t="shared" si="2"/>
        <v/>
      </c>
      <c r="P254" s="285" t="str">
        <f t="array" ref="P254">if(J254=0,"",INDEX('Biaya Gratis Ongkir Xtra'!D:D, MATCH(J254, 'Biaya Gratis Ongkir Xtra'!C:C, 0)))</f>
        <v/>
      </c>
      <c r="Q254" s="286" t="str">
        <f t="shared" si="3"/>
        <v/>
      </c>
      <c r="R254" s="287" t="str">
        <f t="array" ref="R254">if(K254=0,"",INDEX('Biaya Gratis Ongkir Xtra'!$C$7:$C$10, MATCH(K254, 'Biaya Gratis Ongkir Xtra'!$B$7:$B$10, 0)))</f>
        <v/>
      </c>
      <c r="S254" s="288" t="str">
        <f t="shared" si="4"/>
        <v/>
      </c>
      <c r="T254" s="273" t="str">
        <f t="shared" si="13"/>
        <v/>
      </c>
      <c r="U254" s="287" t="str">
        <f t="array" ref="U254">if(C254=0,"",INDEX('Biaya Gratis Ongkir Xtra'!$C$3:$C$4, MATCH(L254, 'Biaya Gratis Ongkir Xtra'!$B$3:$B$4, 0)))</f>
        <v/>
      </c>
      <c r="V254" s="288" t="str">
        <f t="shared" si="6"/>
        <v/>
      </c>
      <c r="W254" s="264"/>
      <c r="X254" s="289" t="str">
        <f t="shared" si="7"/>
        <v/>
      </c>
      <c r="Y254" s="290" t="str">
        <f t="shared" si="8"/>
        <v/>
      </c>
      <c r="Z254" s="291" t="str">
        <f t="shared" si="9"/>
        <v/>
      </c>
      <c r="AA254" s="289" t="str">
        <f t="shared" si="10"/>
        <v/>
      </c>
      <c r="AB254" s="291" t="str">
        <f t="shared" si="11"/>
        <v/>
      </c>
      <c r="AC254" s="292" t="str">
        <f t="shared" si="12"/>
        <v/>
      </c>
      <c r="AD254" s="281"/>
      <c r="AE254" s="22"/>
    </row>
    <row r="255">
      <c r="A255" s="264"/>
      <c r="B255" s="267"/>
      <c r="C255" s="265"/>
      <c r="D255" s="265"/>
      <c r="E255" s="265"/>
      <c r="F255" s="266"/>
      <c r="G255" s="267" t="str">
        <f t="shared" si="1"/>
        <v/>
      </c>
      <c r="H255" s="264"/>
      <c r="I255" s="282"/>
      <c r="J255" s="282"/>
      <c r="K255" s="282"/>
      <c r="L255" s="282"/>
      <c r="M255" s="269"/>
      <c r="N255" s="283" t="str">
        <f t="array" ref="N255">if(C255=0,"",INDEX('Biaya Administrasi'!E:E, MATCH(I255, 'Biaya Administrasi'!B:B, 0)))</f>
        <v/>
      </c>
      <c r="O255" s="284" t="str">
        <f t="shared" si="2"/>
        <v/>
      </c>
      <c r="P255" s="285" t="str">
        <f t="array" ref="P255">if(J255=0,"",INDEX('Biaya Gratis Ongkir Xtra'!D:D, MATCH(J255, 'Biaya Gratis Ongkir Xtra'!C:C, 0)))</f>
        <v/>
      </c>
      <c r="Q255" s="286" t="str">
        <f t="shared" si="3"/>
        <v/>
      </c>
      <c r="R255" s="287" t="str">
        <f t="array" ref="R255">if(K255=0,"",INDEX('Biaya Gratis Ongkir Xtra'!$C$7:$C$10, MATCH(K255, 'Biaya Gratis Ongkir Xtra'!$B$7:$B$10, 0)))</f>
        <v/>
      </c>
      <c r="S255" s="288" t="str">
        <f t="shared" si="4"/>
        <v/>
      </c>
      <c r="T255" s="273" t="str">
        <f t="shared" si="13"/>
        <v/>
      </c>
      <c r="U255" s="287" t="str">
        <f t="array" ref="U255">if(C255=0,"",INDEX('Biaya Gratis Ongkir Xtra'!$C$3:$C$4, MATCH(L255, 'Biaya Gratis Ongkir Xtra'!$B$3:$B$4, 0)))</f>
        <v/>
      </c>
      <c r="V255" s="288" t="str">
        <f t="shared" si="6"/>
        <v/>
      </c>
      <c r="W255" s="264"/>
      <c r="X255" s="289" t="str">
        <f t="shared" si="7"/>
        <v/>
      </c>
      <c r="Y255" s="290" t="str">
        <f t="shared" si="8"/>
        <v/>
      </c>
      <c r="Z255" s="291" t="str">
        <f t="shared" si="9"/>
        <v/>
      </c>
      <c r="AA255" s="289" t="str">
        <f t="shared" si="10"/>
        <v/>
      </c>
      <c r="AB255" s="291" t="str">
        <f t="shared" si="11"/>
        <v/>
      </c>
      <c r="AC255" s="292" t="str">
        <f t="shared" si="12"/>
        <v/>
      </c>
      <c r="AD255" s="281"/>
      <c r="AE255" s="22"/>
    </row>
    <row r="256">
      <c r="A256" s="264"/>
      <c r="B256" s="267"/>
      <c r="C256" s="265"/>
      <c r="D256" s="265"/>
      <c r="E256" s="265"/>
      <c r="F256" s="266"/>
      <c r="G256" s="267" t="str">
        <f t="shared" si="1"/>
        <v/>
      </c>
      <c r="H256" s="264"/>
      <c r="I256" s="282"/>
      <c r="J256" s="282"/>
      <c r="K256" s="282"/>
      <c r="L256" s="282"/>
      <c r="M256" s="269"/>
      <c r="N256" s="283" t="str">
        <f t="array" ref="N256">if(C256=0,"",INDEX('Biaya Administrasi'!E:E, MATCH(I256, 'Biaya Administrasi'!B:B, 0)))</f>
        <v/>
      </c>
      <c r="O256" s="284" t="str">
        <f t="shared" si="2"/>
        <v/>
      </c>
      <c r="P256" s="285" t="str">
        <f t="array" ref="P256">if(J256=0,"",INDEX('Biaya Gratis Ongkir Xtra'!D:D, MATCH(J256, 'Biaya Gratis Ongkir Xtra'!C:C, 0)))</f>
        <v/>
      </c>
      <c r="Q256" s="286" t="str">
        <f t="shared" si="3"/>
        <v/>
      </c>
      <c r="R256" s="287" t="str">
        <f t="array" ref="R256">if(K256=0,"",INDEX('Biaya Gratis Ongkir Xtra'!$C$7:$C$10, MATCH(K256, 'Biaya Gratis Ongkir Xtra'!$B$7:$B$10, 0)))</f>
        <v/>
      </c>
      <c r="S256" s="288" t="str">
        <f t="shared" si="4"/>
        <v/>
      </c>
      <c r="T256" s="273" t="str">
        <f t="shared" si="13"/>
        <v/>
      </c>
      <c r="U256" s="287" t="str">
        <f t="array" ref="U256">if(C256=0,"",INDEX('Biaya Gratis Ongkir Xtra'!$C$3:$C$4, MATCH(L256, 'Biaya Gratis Ongkir Xtra'!$B$3:$B$4, 0)))</f>
        <v/>
      </c>
      <c r="V256" s="288" t="str">
        <f t="shared" si="6"/>
        <v/>
      </c>
      <c r="W256" s="264"/>
      <c r="X256" s="289" t="str">
        <f t="shared" si="7"/>
        <v/>
      </c>
      <c r="Y256" s="290" t="str">
        <f t="shared" si="8"/>
        <v/>
      </c>
      <c r="Z256" s="291" t="str">
        <f t="shared" si="9"/>
        <v/>
      </c>
      <c r="AA256" s="289" t="str">
        <f t="shared" si="10"/>
        <v/>
      </c>
      <c r="AB256" s="291" t="str">
        <f t="shared" si="11"/>
        <v/>
      </c>
      <c r="AC256" s="292" t="str">
        <f t="shared" si="12"/>
        <v/>
      </c>
      <c r="AD256" s="281"/>
      <c r="AE256" s="22"/>
    </row>
    <row r="257">
      <c r="A257" s="264"/>
      <c r="B257" s="267"/>
      <c r="C257" s="265"/>
      <c r="D257" s="265"/>
      <c r="E257" s="265"/>
      <c r="F257" s="266"/>
      <c r="G257" s="267" t="str">
        <f t="shared" si="1"/>
        <v/>
      </c>
      <c r="H257" s="264"/>
      <c r="I257" s="282"/>
      <c r="J257" s="282"/>
      <c r="K257" s="282"/>
      <c r="L257" s="282"/>
      <c r="M257" s="269"/>
      <c r="N257" s="283" t="str">
        <f t="array" ref="N257">if(C257=0,"",INDEX('Biaya Administrasi'!E:E, MATCH(I257, 'Biaya Administrasi'!B:B, 0)))</f>
        <v/>
      </c>
      <c r="O257" s="284" t="str">
        <f t="shared" si="2"/>
        <v/>
      </c>
      <c r="P257" s="285" t="str">
        <f t="array" ref="P257">if(J257=0,"",INDEX('Biaya Gratis Ongkir Xtra'!D:D, MATCH(J257, 'Biaya Gratis Ongkir Xtra'!C:C, 0)))</f>
        <v/>
      </c>
      <c r="Q257" s="286" t="str">
        <f t="shared" si="3"/>
        <v/>
      </c>
      <c r="R257" s="287" t="str">
        <f t="array" ref="R257">if(K257=0,"",INDEX('Biaya Gratis Ongkir Xtra'!$C$7:$C$10, MATCH(K257, 'Biaya Gratis Ongkir Xtra'!$B$7:$B$10, 0)))</f>
        <v/>
      </c>
      <c r="S257" s="288" t="str">
        <f t="shared" si="4"/>
        <v/>
      </c>
      <c r="T257" s="273" t="str">
        <f t="shared" si="13"/>
        <v/>
      </c>
      <c r="U257" s="287" t="str">
        <f t="array" ref="U257">if(C257=0,"",INDEX('Biaya Gratis Ongkir Xtra'!$C$3:$C$4, MATCH(L257, 'Biaya Gratis Ongkir Xtra'!$B$3:$B$4, 0)))</f>
        <v/>
      </c>
      <c r="V257" s="288" t="str">
        <f t="shared" si="6"/>
        <v/>
      </c>
      <c r="W257" s="264"/>
      <c r="X257" s="289" t="str">
        <f t="shared" si="7"/>
        <v/>
      </c>
      <c r="Y257" s="290" t="str">
        <f t="shared" si="8"/>
        <v/>
      </c>
      <c r="Z257" s="291" t="str">
        <f t="shared" si="9"/>
        <v/>
      </c>
      <c r="AA257" s="289" t="str">
        <f t="shared" si="10"/>
        <v/>
      </c>
      <c r="AB257" s="291" t="str">
        <f t="shared" si="11"/>
        <v/>
      </c>
      <c r="AC257" s="292" t="str">
        <f t="shared" si="12"/>
        <v/>
      </c>
      <c r="AD257" s="281"/>
      <c r="AE257" s="22"/>
    </row>
    <row r="258">
      <c r="A258" s="264"/>
      <c r="B258" s="267"/>
      <c r="C258" s="265"/>
      <c r="D258" s="265"/>
      <c r="E258" s="265"/>
      <c r="F258" s="266"/>
      <c r="G258" s="267" t="str">
        <f t="shared" si="1"/>
        <v/>
      </c>
      <c r="H258" s="264"/>
      <c r="I258" s="282"/>
      <c r="J258" s="282"/>
      <c r="K258" s="282"/>
      <c r="L258" s="282"/>
      <c r="M258" s="269"/>
      <c r="N258" s="283" t="str">
        <f t="array" ref="N258">if(C258=0,"",INDEX('Biaya Administrasi'!E:E, MATCH(I258, 'Biaya Administrasi'!B:B, 0)))</f>
        <v/>
      </c>
      <c r="O258" s="284" t="str">
        <f t="shared" si="2"/>
        <v/>
      </c>
      <c r="P258" s="285" t="str">
        <f t="array" ref="P258">if(J258=0,"",INDEX('Biaya Gratis Ongkir Xtra'!D:D, MATCH(J258, 'Biaya Gratis Ongkir Xtra'!C:C, 0)))</f>
        <v/>
      </c>
      <c r="Q258" s="286" t="str">
        <f t="shared" si="3"/>
        <v/>
      </c>
      <c r="R258" s="287" t="str">
        <f t="array" ref="R258">if(K258=0,"",INDEX('Biaya Gratis Ongkir Xtra'!$C$7:$C$10, MATCH(K258, 'Biaya Gratis Ongkir Xtra'!$B$7:$B$10, 0)))</f>
        <v/>
      </c>
      <c r="S258" s="288" t="str">
        <f t="shared" si="4"/>
        <v/>
      </c>
      <c r="T258" s="273" t="str">
        <f t="shared" si="13"/>
        <v/>
      </c>
      <c r="U258" s="287" t="str">
        <f t="array" ref="U258">if(C258=0,"",INDEX('Biaya Gratis Ongkir Xtra'!$C$3:$C$4, MATCH(L258, 'Biaya Gratis Ongkir Xtra'!$B$3:$B$4, 0)))</f>
        <v/>
      </c>
      <c r="V258" s="288" t="str">
        <f t="shared" si="6"/>
        <v/>
      </c>
      <c r="W258" s="264"/>
      <c r="X258" s="289" t="str">
        <f t="shared" si="7"/>
        <v/>
      </c>
      <c r="Y258" s="290" t="str">
        <f t="shared" si="8"/>
        <v/>
      </c>
      <c r="Z258" s="291" t="str">
        <f t="shared" si="9"/>
        <v/>
      </c>
      <c r="AA258" s="289" t="str">
        <f t="shared" si="10"/>
        <v/>
      </c>
      <c r="AB258" s="291" t="str">
        <f t="shared" si="11"/>
        <v/>
      </c>
      <c r="AC258" s="292" t="str">
        <f t="shared" si="12"/>
        <v/>
      </c>
      <c r="AD258" s="281"/>
      <c r="AE258" s="22"/>
    </row>
    <row r="259">
      <c r="A259" s="264"/>
      <c r="B259" s="267"/>
      <c r="C259" s="265"/>
      <c r="D259" s="265"/>
      <c r="E259" s="265"/>
      <c r="F259" s="266"/>
      <c r="G259" s="267" t="str">
        <f t="shared" si="1"/>
        <v/>
      </c>
      <c r="H259" s="264"/>
      <c r="I259" s="282"/>
      <c r="J259" s="282"/>
      <c r="K259" s="282"/>
      <c r="L259" s="282"/>
      <c r="M259" s="269"/>
      <c r="N259" s="283" t="str">
        <f t="array" ref="N259">if(C259=0,"",INDEX('Biaya Administrasi'!E:E, MATCH(I259, 'Biaya Administrasi'!B:B, 0)))</f>
        <v/>
      </c>
      <c r="O259" s="284" t="str">
        <f t="shared" si="2"/>
        <v/>
      </c>
      <c r="P259" s="285" t="str">
        <f t="array" ref="P259">if(J259=0,"",INDEX('Biaya Gratis Ongkir Xtra'!D:D, MATCH(J259, 'Biaya Gratis Ongkir Xtra'!C:C, 0)))</f>
        <v/>
      </c>
      <c r="Q259" s="286" t="str">
        <f t="shared" si="3"/>
        <v/>
      </c>
      <c r="R259" s="287" t="str">
        <f t="array" ref="R259">if(K259=0,"",INDEX('Biaya Gratis Ongkir Xtra'!$C$7:$C$10, MATCH(K259, 'Biaya Gratis Ongkir Xtra'!$B$7:$B$10, 0)))</f>
        <v/>
      </c>
      <c r="S259" s="288" t="str">
        <f t="shared" si="4"/>
        <v/>
      </c>
      <c r="T259" s="273" t="str">
        <f t="shared" si="13"/>
        <v/>
      </c>
      <c r="U259" s="287" t="str">
        <f t="array" ref="U259">if(C259=0,"",INDEX('Biaya Gratis Ongkir Xtra'!$C$3:$C$4, MATCH(L259, 'Biaya Gratis Ongkir Xtra'!$B$3:$B$4, 0)))</f>
        <v/>
      </c>
      <c r="V259" s="288" t="str">
        <f t="shared" si="6"/>
        <v/>
      </c>
      <c r="W259" s="264"/>
      <c r="X259" s="289" t="str">
        <f t="shared" si="7"/>
        <v/>
      </c>
      <c r="Y259" s="290" t="str">
        <f t="shared" si="8"/>
        <v/>
      </c>
      <c r="Z259" s="291" t="str">
        <f t="shared" si="9"/>
        <v/>
      </c>
      <c r="AA259" s="289" t="str">
        <f t="shared" si="10"/>
        <v/>
      </c>
      <c r="AB259" s="291" t="str">
        <f t="shared" si="11"/>
        <v/>
      </c>
      <c r="AC259" s="292" t="str">
        <f t="shared" si="12"/>
        <v/>
      </c>
      <c r="AD259" s="281"/>
      <c r="AE259" s="22"/>
    </row>
    <row r="260">
      <c r="A260" s="264"/>
      <c r="B260" s="267"/>
      <c r="C260" s="265"/>
      <c r="D260" s="265"/>
      <c r="E260" s="265"/>
      <c r="F260" s="266"/>
      <c r="G260" s="267" t="str">
        <f t="shared" si="1"/>
        <v/>
      </c>
      <c r="H260" s="264"/>
      <c r="I260" s="282"/>
      <c r="J260" s="282"/>
      <c r="K260" s="282"/>
      <c r="L260" s="282"/>
      <c r="M260" s="269"/>
      <c r="N260" s="283" t="str">
        <f t="array" ref="N260">if(C260=0,"",INDEX('Biaya Administrasi'!E:E, MATCH(I260, 'Biaya Administrasi'!B:B, 0)))</f>
        <v/>
      </c>
      <c r="O260" s="284" t="str">
        <f t="shared" si="2"/>
        <v/>
      </c>
      <c r="P260" s="285" t="str">
        <f t="array" ref="P260">if(J260=0,"",INDEX('Biaya Gratis Ongkir Xtra'!D:D, MATCH(J260, 'Biaya Gratis Ongkir Xtra'!C:C, 0)))</f>
        <v/>
      </c>
      <c r="Q260" s="286" t="str">
        <f t="shared" si="3"/>
        <v/>
      </c>
      <c r="R260" s="287" t="str">
        <f t="array" ref="R260">if(K260=0,"",INDEX('Biaya Gratis Ongkir Xtra'!$C$7:$C$10, MATCH(K260, 'Biaya Gratis Ongkir Xtra'!$B$7:$B$10, 0)))</f>
        <v/>
      </c>
      <c r="S260" s="288" t="str">
        <f t="shared" si="4"/>
        <v/>
      </c>
      <c r="T260" s="273" t="str">
        <f t="shared" si="13"/>
        <v/>
      </c>
      <c r="U260" s="287" t="str">
        <f t="array" ref="U260">if(C260=0,"",INDEX('Biaya Gratis Ongkir Xtra'!$C$3:$C$4, MATCH(L260, 'Biaya Gratis Ongkir Xtra'!$B$3:$B$4, 0)))</f>
        <v/>
      </c>
      <c r="V260" s="288" t="str">
        <f t="shared" si="6"/>
        <v/>
      </c>
      <c r="W260" s="264"/>
      <c r="X260" s="289" t="str">
        <f t="shared" si="7"/>
        <v/>
      </c>
      <c r="Y260" s="290" t="str">
        <f t="shared" si="8"/>
        <v/>
      </c>
      <c r="Z260" s="291" t="str">
        <f t="shared" si="9"/>
        <v/>
      </c>
      <c r="AA260" s="289" t="str">
        <f t="shared" si="10"/>
        <v/>
      </c>
      <c r="AB260" s="291" t="str">
        <f t="shared" si="11"/>
        <v/>
      </c>
      <c r="AC260" s="292" t="str">
        <f t="shared" si="12"/>
        <v/>
      </c>
      <c r="AD260" s="281"/>
      <c r="AE260" s="22"/>
    </row>
    <row r="261">
      <c r="A261" s="264"/>
      <c r="B261" s="267"/>
      <c r="C261" s="265"/>
      <c r="D261" s="265"/>
      <c r="E261" s="265"/>
      <c r="F261" s="266"/>
      <c r="G261" s="267" t="str">
        <f t="shared" si="1"/>
        <v/>
      </c>
      <c r="H261" s="264"/>
      <c r="I261" s="282"/>
      <c r="J261" s="282"/>
      <c r="K261" s="282"/>
      <c r="L261" s="282"/>
      <c r="M261" s="269"/>
      <c r="N261" s="283" t="str">
        <f t="array" ref="N261">if(C261=0,"",INDEX('Biaya Administrasi'!E:E, MATCH(I261, 'Biaya Administrasi'!B:B, 0)))</f>
        <v/>
      </c>
      <c r="O261" s="284" t="str">
        <f t="shared" si="2"/>
        <v/>
      </c>
      <c r="P261" s="285" t="str">
        <f t="array" ref="P261">if(J261=0,"",INDEX('Biaya Gratis Ongkir Xtra'!D:D, MATCH(J261, 'Biaya Gratis Ongkir Xtra'!C:C, 0)))</f>
        <v/>
      </c>
      <c r="Q261" s="286" t="str">
        <f t="shared" si="3"/>
        <v/>
      </c>
      <c r="R261" s="287" t="str">
        <f t="array" ref="R261">if(K261=0,"",INDEX('Biaya Gratis Ongkir Xtra'!$C$7:$C$10, MATCH(K261, 'Biaya Gratis Ongkir Xtra'!$B$7:$B$10, 0)))</f>
        <v/>
      </c>
      <c r="S261" s="288" t="str">
        <f t="shared" si="4"/>
        <v/>
      </c>
      <c r="T261" s="273" t="str">
        <f t="shared" si="13"/>
        <v/>
      </c>
      <c r="U261" s="287" t="str">
        <f t="array" ref="U261">if(C261=0,"",INDEX('Biaya Gratis Ongkir Xtra'!$C$3:$C$4, MATCH(L261, 'Biaya Gratis Ongkir Xtra'!$B$3:$B$4, 0)))</f>
        <v/>
      </c>
      <c r="V261" s="288" t="str">
        <f t="shared" si="6"/>
        <v/>
      </c>
      <c r="W261" s="264"/>
      <c r="X261" s="289" t="str">
        <f t="shared" si="7"/>
        <v/>
      </c>
      <c r="Y261" s="290" t="str">
        <f t="shared" si="8"/>
        <v/>
      </c>
      <c r="Z261" s="291" t="str">
        <f t="shared" si="9"/>
        <v/>
      </c>
      <c r="AA261" s="289" t="str">
        <f t="shared" si="10"/>
        <v/>
      </c>
      <c r="AB261" s="291" t="str">
        <f t="shared" si="11"/>
        <v/>
      </c>
      <c r="AC261" s="292" t="str">
        <f t="shared" si="12"/>
        <v/>
      </c>
      <c r="AD261" s="281"/>
      <c r="AE261" s="22"/>
    </row>
    <row r="262">
      <c r="A262" s="264"/>
      <c r="B262" s="267"/>
      <c r="C262" s="265"/>
      <c r="D262" s="265"/>
      <c r="E262" s="265"/>
      <c r="F262" s="266"/>
      <c r="G262" s="267" t="str">
        <f t="shared" si="1"/>
        <v/>
      </c>
      <c r="H262" s="264"/>
      <c r="I262" s="282"/>
      <c r="J262" s="282"/>
      <c r="K262" s="282"/>
      <c r="L262" s="282"/>
      <c r="M262" s="269"/>
      <c r="N262" s="283" t="str">
        <f t="array" ref="N262">if(C262=0,"",INDEX('Biaya Administrasi'!E:E, MATCH(I262, 'Biaya Administrasi'!B:B, 0)))</f>
        <v/>
      </c>
      <c r="O262" s="284" t="str">
        <f t="shared" si="2"/>
        <v/>
      </c>
      <c r="P262" s="285" t="str">
        <f t="array" ref="P262">if(J262=0,"",INDEX('Biaya Gratis Ongkir Xtra'!D:D, MATCH(J262, 'Biaya Gratis Ongkir Xtra'!C:C, 0)))</f>
        <v/>
      </c>
      <c r="Q262" s="286" t="str">
        <f t="shared" si="3"/>
        <v/>
      </c>
      <c r="R262" s="287" t="str">
        <f t="array" ref="R262">if(K262=0,"",INDEX('Biaya Gratis Ongkir Xtra'!$C$7:$C$10, MATCH(K262, 'Biaya Gratis Ongkir Xtra'!$B$7:$B$10, 0)))</f>
        <v/>
      </c>
      <c r="S262" s="288" t="str">
        <f t="shared" si="4"/>
        <v/>
      </c>
      <c r="T262" s="273" t="str">
        <f t="shared" si="13"/>
        <v/>
      </c>
      <c r="U262" s="287" t="str">
        <f t="array" ref="U262">if(C262=0,"",INDEX('Biaya Gratis Ongkir Xtra'!$C$3:$C$4, MATCH(L262, 'Biaya Gratis Ongkir Xtra'!$B$3:$B$4, 0)))</f>
        <v/>
      </c>
      <c r="V262" s="288" t="str">
        <f t="shared" si="6"/>
        <v/>
      </c>
      <c r="W262" s="264"/>
      <c r="X262" s="289" t="str">
        <f t="shared" si="7"/>
        <v/>
      </c>
      <c r="Y262" s="290" t="str">
        <f t="shared" si="8"/>
        <v/>
      </c>
      <c r="Z262" s="291" t="str">
        <f t="shared" si="9"/>
        <v/>
      </c>
      <c r="AA262" s="289" t="str">
        <f t="shared" si="10"/>
        <v/>
      </c>
      <c r="AB262" s="291" t="str">
        <f t="shared" si="11"/>
        <v/>
      </c>
      <c r="AC262" s="292" t="str">
        <f t="shared" si="12"/>
        <v/>
      </c>
      <c r="AD262" s="281"/>
      <c r="AE262" s="22"/>
    </row>
    <row r="263">
      <c r="A263" s="264"/>
      <c r="B263" s="267"/>
      <c r="C263" s="265"/>
      <c r="D263" s="265"/>
      <c r="E263" s="265"/>
      <c r="F263" s="266"/>
      <c r="G263" s="267" t="str">
        <f t="shared" si="1"/>
        <v/>
      </c>
      <c r="H263" s="264"/>
      <c r="I263" s="282"/>
      <c r="J263" s="282"/>
      <c r="K263" s="282"/>
      <c r="L263" s="282"/>
      <c r="M263" s="269"/>
      <c r="N263" s="283" t="str">
        <f t="array" ref="N263">if(C263=0,"",INDEX('Biaya Administrasi'!E:E, MATCH(I263, 'Biaya Administrasi'!B:B, 0)))</f>
        <v/>
      </c>
      <c r="O263" s="284" t="str">
        <f t="shared" si="2"/>
        <v/>
      </c>
      <c r="P263" s="285" t="str">
        <f t="array" ref="P263">if(J263=0,"",INDEX('Biaya Gratis Ongkir Xtra'!D:D, MATCH(J263, 'Biaya Gratis Ongkir Xtra'!C:C, 0)))</f>
        <v/>
      </c>
      <c r="Q263" s="286" t="str">
        <f t="shared" si="3"/>
        <v/>
      </c>
      <c r="R263" s="287" t="str">
        <f t="array" ref="R263">if(K263=0,"",INDEX('Biaya Gratis Ongkir Xtra'!$C$7:$C$10, MATCH(K263, 'Biaya Gratis Ongkir Xtra'!$B$7:$B$10, 0)))</f>
        <v/>
      </c>
      <c r="S263" s="288" t="str">
        <f t="shared" si="4"/>
        <v/>
      </c>
      <c r="T263" s="273" t="str">
        <f t="shared" si="13"/>
        <v/>
      </c>
      <c r="U263" s="287" t="str">
        <f t="array" ref="U263">if(C263=0,"",INDEX('Biaya Gratis Ongkir Xtra'!$C$3:$C$4, MATCH(L263, 'Biaya Gratis Ongkir Xtra'!$B$3:$B$4, 0)))</f>
        <v/>
      </c>
      <c r="V263" s="288" t="str">
        <f t="shared" si="6"/>
        <v/>
      </c>
      <c r="W263" s="264"/>
      <c r="X263" s="289" t="str">
        <f t="shared" si="7"/>
        <v/>
      </c>
      <c r="Y263" s="290" t="str">
        <f t="shared" si="8"/>
        <v/>
      </c>
      <c r="Z263" s="291" t="str">
        <f t="shared" si="9"/>
        <v/>
      </c>
      <c r="AA263" s="289" t="str">
        <f t="shared" si="10"/>
        <v/>
      </c>
      <c r="AB263" s="291" t="str">
        <f t="shared" si="11"/>
        <v/>
      </c>
      <c r="AC263" s="292" t="str">
        <f t="shared" si="12"/>
        <v/>
      </c>
      <c r="AD263" s="281"/>
      <c r="AE263" s="22"/>
    </row>
    <row r="264">
      <c r="A264" s="264"/>
      <c r="B264" s="267"/>
      <c r="C264" s="265"/>
      <c r="D264" s="265"/>
      <c r="E264" s="265"/>
      <c r="F264" s="266"/>
      <c r="G264" s="267" t="str">
        <f t="shared" si="1"/>
        <v/>
      </c>
      <c r="H264" s="264"/>
      <c r="I264" s="282"/>
      <c r="J264" s="282"/>
      <c r="K264" s="282"/>
      <c r="L264" s="282"/>
      <c r="M264" s="269"/>
      <c r="N264" s="283" t="str">
        <f t="array" ref="N264">if(C264=0,"",INDEX('Biaya Administrasi'!E:E, MATCH(I264, 'Biaya Administrasi'!B:B, 0)))</f>
        <v/>
      </c>
      <c r="O264" s="284" t="str">
        <f t="shared" si="2"/>
        <v/>
      </c>
      <c r="P264" s="285" t="str">
        <f t="array" ref="P264">if(J264=0,"",INDEX('Biaya Gratis Ongkir Xtra'!D:D, MATCH(J264, 'Biaya Gratis Ongkir Xtra'!C:C, 0)))</f>
        <v/>
      </c>
      <c r="Q264" s="286" t="str">
        <f t="shared" si="3"/>
        <v/>
      </c>
      <c r="R264" s="287" t="str">
        <f t="array" ref="R264">if(K264=0,"",INDEX('Biaya Gratis Ongkir Xtra'!$C$7:$C$10, MATCH(K264, 'Biaya Gratis Ongkir Xtra'!$B$7:$B$10, 0)))</f>
        <v/>
      </c>
      <c r="S264" s="288" t="str">
        <f t="shared" si="4"/>
        <v/>
      </c>
      <c r="T264" s="273" t="str">
        <f t="shared" si="13"/>
        <v/>
      </c>
      <c r="U264" s="287" t="str">
        <f t="array" ref="U264">if(C264=0,"",INDEX('Biaya Gratis Ongkir Xtra'!$C$3:$C$4, MATCH(L264, 'Biaya Gratis Ongkir Xtra'!$B$3:$B$4, 0)))</f>
        <v/>
      </c>
      <c r="V264" s="288" t="str">
        <f t="shared" si="6"/>
        <v/>
      </c>
      <c r="W264" s="264"/>
      <c r="X264" s="289" t="str">
        <f t="shared" si="7"/>
        <v/>
      </c>
      <c r="Y264" s="290" t="str">
        <f t="shared" si="8"/>
        <v/>
      </c>
      <c r="Z264" s="291" t="str">
        <f t="shared" si="9"/>
        <v/>
      </c>
      <c r="AA264" s="289" t="str">
        <f t="shared" si="10"/>
        <v/>
      </c>
      <c r="AB264" s="291" t="str">
        <f t="shared" si="11"/>
        <v/>
      </c>
      <c r="AC264" s="292" t="str">
        <f t="shared" si="12"/>
        <v/>
      </c>
      <c r="AD264" s="281"/>
      <c r="AE264" s="22"/>
    </row>
    <row r="265">
      <c r="A265" s="264"/>
      <c r="B265" s="267"/>
      <c r="C265" s="265"/>
      <c r="D265" s="265"/>
      <c r="E265" s="265"/>
      <c r="F265" s="266"/>
      <c r="G265" s="267" t="str">
        <f t="shared" si="1"/>
        <v/>
      </c>
      <c r="H265" s="264"/>
      <c r="I265" s="282"/>
      <c r="J265" s="282"/>
      <c r="K265" s="282"/>
      <c r="L265" s="282"/>
      <c r="M265" s="269"/>
      <c r="N265" s="283" t="str">
        <f t="array" ref="N265">if(C265=0,"",INDEX('Biaya Administrasi'!E:E, MATCH(I265, 'Biaya Administrasi'!B:B, 0)))</f>
        <v/>
      </c>
      <c r="O265" s="284" t="str">
        <f t="shared" si="2"/>
        <v/>
      </c>
      <c r="P265" s="285" t="str">
        <f t="array" ref="P265">if(J265=0,"",INDEX('Biaya Gratis Ongkir Xtra'!D:D, MATCH(J265, 'Biaya Gratis Ongkir Xtra'!C:C, 0)))</f>
        <v/>
      </c>
      <c r="Q265" s="286" t="str">
        <f t="shared" si="3"/>
        <v/>
      </c>
      <c r="R265" s="287" t="str">
        <f t="array" ref="R265">if(K265=0,"",INDEX('Biaya Gratis Ongkir Xtra'!$C$7:$C$10, MATCH(K265, 'Biaya Gratis Ongkir Xtra'!$B$7:$B$10, 0)))</f>
        <v/>
      </c>
      <c r="S265" s="288" t="str">
        <f t="shared" si="4"/>
        <v/>
      </c>
      <c r="T265" s="273" t="str">
        <f t="shared" si="13"/>
        <v/>
      </c>
      <c r="U265" s="287" t="str">
        <f t="array" ref="U265">if(C265=0,"",INDEX('Biaya Gratis Ongkir Xtra'!$C$3:$C$4, MATCH(L265, 'Biaya Gratis Ongkir Xtra'!$B$3:$B$4, 0)))</f>
        <v/>
      </c>
      <c r="V265" s="288" t="str">
        <f t="shared" si="6"/>
        <v/>
      </c>
      <c r="W265" s="264"/>
      <c r="X265" s="289" t="str">
        <f t="shared" si="7"/>
        <v/>
      </c>
      <c r="Y265" s="290" t="str">
        <f t="shared" si="8"/>
        <v/>
      </c>
      <c r="Z265" s="291" t="str">
        <f t="shared" si="9"/>
        <v/>
      </c>
      <c r="AA265" s="289" t="str">
        <f t="shared" si="10"/>
        <v/>
      </c>
      <c r="AB265" s="291" t="str">
        <f t="shared" si="11"/>
        <v/>
      </c>
      <c r="AC265" s="292" t="str">
        <f t="shared" si="12"/>
        <v/>
      </c>
      <c r="AD265" s="281"/>
      <c r="AE265" s="22"/>
    </row>
    <row r="266">
      <c r="A266" s="264"/>
      <c r="B266" s="267"/>
      <c r="C266" s="265"/>
      <c r="D266" s="265"/>
      <c r="E266" s="265"/>
      <c r="F266" s="266"/>
      <c r="G266" s="267" t="str">
        <f t="shared" si="1"/>
        <v/>
      </c>
      <c r="H266" s="264"/>
      <c r="I266" s="282"/>
      <c r="J266" s="282"/>
      <c r="K266" s="282"/>
      <c r="L266" s="282"/>
      <c r="M266" s="269"/>
      <c r="N266" s="283" t="str">
        <f t="array" ref="N266">if(C266=0,"",INDEX('Biaya Administrasi'!E:E, MATCH(I266, 'Biaya Administrasi'!B:B, 0)))</f>
        <v/>
      </c>
      <c r="O266" s="284" t="str">
        <f t="shared" si="2"/>
        <v/>
      </c>
      <c r="P266" s="285" t="str">
        <f t="array" ref="P266">if(J266=0,"",INDEX('Biaya Gratis Ongkir Xtra'!D:D, MATCH(J266, 'Biaya Gratis Ongkir Xtra'!C:C, 0)))</f>
        <v/>
      </c>
      <c r="Q266" s="286" t="str">
        <f t="shared" si="3"/>
        <v/>
      </c>
      <c r="R266" s="287" t="str">
        <f t="array" ref="R266">if(K266=0,"",INDEX('Biaya Gratis Ongkir Xtra'!$C$7:$C$10, MATCH(K266, 'Biaya Gratis Ongkir Xtra'!$B$7:$B$10, 0)))</f>
        <v/>
      </c>
      <c r="S266" s="288" t="str">
        <f t="shared" si="4"/>
        <v/>
      </c>
      <c r="T266" s="273" t="str">
        <f t="shared" si="13"/>
        <v/>
      </c>
      <c r="U266" s="287" t="str">
        <f t="array" ref="U266">if(C266=0,"",INDEX('Biaya Gratis Ongkir Xtra'!$C$3:$C$4, MATCH(L266, 'Biaya Gratis Ongkir Xtra'!$B$3:$B$4, 0)))</f>
        <v/>
      </c>
      <c r="V266" s="288" t="str">
        <f t="shared" si="6"/>
        <v/>
      </c>
      <c r="W266" s="264"/>
      <c r="X266" s="289" t="str">
        <f t="shared" si="7"/>
        <v/>
      </c>
      <c r="Y266" s="290" t="str">
        <f t="shared" si="8"/>
        <v/>
      </c>
      <c r="Z266" s="291" t="str">
        <f t="shared" si="9"/>
        <v/>
      </c>
      <c r="AA266" s="289" t="str">
        <f t="shared" si="10"/>
        <v/>
      </c>
      <c r="AB266" s="291" t="str">
        <f t="shared" si="11"/>
        <v/>
      </c>
      <c r="AC266" s="292" t="str">
        <f t="shared" si="12"/>
        <v/>
      </c>
      <c r="AD266" s="281"/>
      <c r="AE266" s="22"/>
    </row>
    <row r="267">
      <c r="A267" s="264"/>
      <c r="B267" s="267"/>
      <c r="C267" s="265"/>
      <c r="D267" s="265"/>
      <c r="E267" s="265"/>
      <c r="F267" s="266"/>
      <c r="G267" s="267" t="str">
        <f t="shared" si="1"/>
        <v/>
      </c>
      <c r="H267" s="264"/>
      <c r="I267" s="282"/>
      <c r="J267" s="282"/>
      <c r="K267" s="282"/>
      <c r="L267" s="282"/>
      <c r="M267" s="269"/>
      <c r="N267" s="283" t="str">
        <f t="array" ref="N267">if(C267=0,"",INDEX('Biaya Administrasi'!E:E, MATCH(I267, 'Biaya Administrasi'!B:B, 0)))</f>
        <v/>
      </c>
      <c r="O267" s="284" t="str">
        <f t="shared" si="2"/>
        <v/>
      </c>
      <c r="P267" s="285" t="str">
        <f t="array" ref="P267">if(J267=0,"",INDEX('Biaya Gratis Ongkir Xtra'!D:D, MATCH(J267, 'Biaya Gratis Ongkir Xtra'!C:C, 0)))</f>
        <v/>
      </c>
      <c r="Q267" s="286" t="str">
        <f t="shared" si="3"/>
        <v/>
      </c>
      <c r="R267" s="287" t="str">
        <f t="array" ref="R267">if(K267=0,"",INDEX('Biaya Gratis Ongkir Xtra'!$C$7:$C$10, MATCH(K267, 'Biaya Gratis Ongkir Xtra'!$B$7:$B$10, 0)))</f>
        <v/>
      </c>
      <c r="S267" s="288" t="str">
        <f t="shared" si="4"/>
        <v/>
      </c>
      <c r="T267" s="273" t="str">
        <f t="shared" si="13"/>
        <v/>
      </c>
      <c r="U267" s="287" t="str">
        <f t="array" ref="U267">if(C267=0,"",INDEX('Biaya Gratis Ongkir Xtra'!$C$3:$C$4, MATCH(L267, 'Biaya Gratis Ongkir Xtra'!$B$3:$B$4, 0)))</f>
        <v/>
      </c>
      <c r="V267" s="288" t="str">
        <f t="shared" si="6"/>
        <v/>
      </c>
      <c r="W267" s="264"/>
      <c r="X267" s="289" t="str">
        <f t="shared" si="7"/>
        <v/>
      </c>
      <c r="Y267" s="290" t="str">
        <f t="shared" si="8"/>
        <v/>
      </c>
      <c r="Z267" s="291" t="str">
        <f t="shared" si="9"/>
        <v/>
      </c>
      <c r="AA267" s="289" t="str">
        <f t="shared" si="10"/>
        <v/>
      </c>
      <c r="AB267" s="291" t="str">
        <f t="shared" si="11"/>
        <v/>
      </c>
      <c r="AC267" s="292" t="str">
        <f t="shared" si="12"/>
        <v/>
      </c>
      <c r="AD267" s="281"/>
      <c r="AE267" s="22"/>
    </row>
    <row r="268">
      <c r="A268" s="264"/>
      <c r="B268" s="267"/>
      <c r="C268" s="265"/>
      <c r="D268" s="265"/>
      <c r="E268" s="265"/>
      <c r="F268" s="266"/>
      <c r="G268" s="267" t="str">
        <f t="shared" si="1"/>
        <v/>
      </c>
      <c r="H268" s="264"/>
      <c r="I268" s="282"/>
      <c r="J268" s="282"/>
      <c r="K268" s="282"/>
      <c r="L268" s="282"/>
      <c r="M268" s="269"/>
      <c r="N268" s="283" t="str">
        <f t="array" ref="N268">if(C268=0,"",INDEX('Biaya Administrasi'!E:E, MATCH(I268, 'Biaya Administrasi'!B:B, 0)))</f>
        <v/>
      </c>
      <c r="O268" s="284" t="str">
        <f t="shared" si="2"/>
        <v/>
      </c>
      <c r="P268" s="285" t="str">
        <f t="array" ref="P268">if(J268=0,"",INDEX('Biaya Gratis Ongkir Xtra'!D:D, MATCH(J268, 'Biaya Gratis Ongkir Xtra'!C:C, 0)))</f>
        <v/>
      </c>
      <c r="Q268" s="286" t="str">
        <f t="shared" si="3"/>
        <v/>
      </c>
      <c r="R268" s="287" t="str">
        <f t="array" ref="R268">if(K268=0,"",INDEX('Biaya Gratis Ongkir Xtra'!$C$7:$C$10, MATCH(K268, 'Biaya Gratis Ongkir Xtra'!$B$7:$B$10, 0)))</f>
        <v/>
      </c>
      <c r="S268" s="288" t="str">
        <f t="shared" si="4"/>
        <v/>
      </c>
      <c r="T268" s="273" t="str">
        <f t="shared" si="13"/>
        <v/>
      </c>
      <c r="U268" s="287" t="str">
        <f t="array" ref="U268">if(C268=0,"",INDEX('Biaya Gratis Ongkir Xtra'!$C$3:$C$4, MATCH(L268, 'Biaya Gratis Ongkir Xtra'!$B$3:$B$4, 0)))</f>
        <v/>
      </c>
      <c r="V268" s="288" t="str">
        <f t="shared" si="6"/>
        <v/>
      </c>
      <c r="W268" s="264"/>
      <c r="X268" s="289" t="str">
        <f t="shared" si="7"/>
        <v/>
      </c>
      <c r="Y268" s="290" t="str">
        <f t="shared" si="8"/>
        <v/>
      </c>
      <c r="Z268" s="291" t="str">
        <f t="shared" si="9"/>
        <v/>
      </c>
      <c r="AA268" s="289" t="str">
        <f t="shared" si="10"/>
        <v/>
      </c>
      <c r="AB268" s="291" t="str">
        <f t="shared" si="11"/>
        <v/>
      </c>
      <c r="AC268" s="292" t="str">
        <f t="shared" si="12"/>
        <v/>
      </c>
      <c r="AD268" s="281"/>
      <c r="AE268" s="22"/>
    </row>
    <row r="269">
      <c r="A269" s="264"/>
      <c r="B269" s="267"/>
      <c r="C269" s="265"/>
      <c r="D269" s="265"/>
      <c r="E269" s="265"/>
      <c r="F269" s="266"/>
      <c r="G269" s="267" t="str">
        <f t="shared" si="1"/>
        <v/>
      </c>
      <c r="H269" s="264"/>
      <c r="I269" s="282"/>
      <c r="J269" s="282"/>
      <c r="K269" s="282"/>
      <c r="L269" s="282"/>
      <c r="M269" s="269"/>
      <c r="N269" s="283" t="str">
        <f t="array" ref="N269">if(C269=0,"",INDEX('Biaya Administrasi'!E:E, MATCH(I269, 'Biaya Administrasi'!B:B, 0)))</f>
        <v/>
      </c>
      <c r="O269" s="284" t="str">
        <f t="shared" si="2"/>
        <v/>
      </c>
      <c r="P269" s="285" t="str">
        <f t="array" ref="P269">if(J269=0,"",INDEX('Biaya Gratis Ongkir Xtra'!D:D, MATCH(J269, 'Biaya Gratis Ongkir Xtra'!C:C, 0)))</f>
        <v/>
      </c>
      <c r="Q269" s="286" t="str">
        <f t="shared" si="3"/>
        <v/>
      </c>
      <c r="R269" s="287" t="str">
        <f t="array" ref="R269">if(K269=0,"",INDEX('Biaya Gratis Ongkir Xtra'!$C$7:$C$10, MATCH(K269, 'Biaya Gratis Ongkir Xtra'!$B$7:$B$10, 0)))</f>
        <v/>
      </c>
      <c r="S269" s="288" t="str">
        <f t="shared" si="4"/>
        <v/>
      </c>
      <c r="T269" s="273" t="str">
        <f t="shared" si="13"/>
        <v/>
      </c>
      <c r="U269" s="287" t="str">
        <f t="array" ref="U269">if(C269=0,"",INDEX('Biaya Gratis Ongkir Xtra'!$C$3:$C$4, MATCH(L269, 'Biaya Gratis Ongkir Xtra'!$B$3:$B$4, 0)))</f>
        <v/>
      </c>
      <c r="V269" s="288" t="str">
        <f t="shared" si="6"/>
        <v/>
      </c>
      <c r="W269" s="264"/>
      <c r="X269" s="289" t="str">
        <f t="shared" si="7"/>
        <v/>
      </c>
      <c r="Y269" s="290" t="str">
        <f t="shared" si="8"/>
        <v/>
      </c>
      <c r="Z269" s="291" t="str">
        <f t="shared" si="9"/>
        <v/>
      </c>
      <c r="AA269" s="289" t="str">
        <f t="shared" si="10"/>
        <v/>
      </c>
      <c r="AB269" s="291" t="str">
        <f t="shared" si="11"/>
        <v/>
      </c>
      <c r="AC269" s="292" t="str">
        <f t="shared" si="12"/>
        <v/>
      </c>
      <c r="AD269" s="281"/>
      <c r="AE269" s="22"/>
    </row>
    <row r="270">
      <c r="A270" s="264"/>
      <c r="B270" s="267"/>
      <c r="C270" s="265"/>
      <c r="D270" s="265"/>
      <c r="E270" s="265"/>
      <c r="F270" s="266"/>
      <c r="G270" s="267" t="str">
        <f t="shared" si="1"/>
        <v/>
      </c>
      <c r="H270" s="264"/>
      <c r="I270" s="282"/>
      <c r="J270" s="282"/>
      <c r="K270" s="282"/>
      <c r="L270" s="282"/>
      <c r="M270" s="269"/>
      <c r="N270" s="283" t="str">
        <f t="array" ref="N270">if(C270=0,"",INDEX('Biaya Administrasi'!E:E, MATCH(I270, 'Biaya Administrasi'!B:B, 0)))</f>
        <v/>
      </c>
      <c r="O270" s="284" t="str">
        <f t="shared" si="2"/>
        <v/>
      </c>
      <c r="P270" s="285" t="str">
        <f t="array" ref="P270">if(J270=0,"",INDEX('Biaya Gratis Ongkir Xtra'!D:D, MATCH(J270, 'Biaya Gratis Ongkir Xtra'!C:C, 0)))</f>
        <v/>
      </c>
      <c r="Q270" s="286" t="str">
        <f t="shared" si="3"/>
        <v/>
      </c>
      <c r="R270" s="287" t="str">
        <f t="array" ref="R270">if(K270=0,"",INDEX('Biaya Gratis Ongkir Xtra'!$C$7:$C$10, MATCH(K270, 'Biaya Gratis Ongkir Xtra'!$B$7:$B$10, 0)))</f>
        <v/>
      </c>
      <c r="S270" s="288" t="str">
        <f t="shared" si="4"/>
        <v/>
      </c>
      <c r="T270" s="273" t="str">
        <f t="shared" si="13"/>
        <v/>
      </c>
      <c r="U270" s="287" t="str">
        <f t="array" ref="U270">if(C270=0,"",INDEX('Biaya Gratis Ongkir Xtra'!$C$3:$C$4, MATCH(L270, 'Biaya Gratis Ongkir Xtra'!$B$3:$B$4, 0)))</f>
        <v/>
      </c>
      <c r="V270" s="288" t="str">
        <f t="shared" si="6"/>
        <v/>
      </c>
      <c r="W270" s="264"/>
      <c r="X270" s="289" t="str">
        <f t="shared" si="7"/>
        <v/>
      </c>
      <c r="Y270" s="290" t="str">
        <f t="shared" si="8"/>
        <v/>
      </c>
      <c r="Z270" s="291" t="str">
        <f t="shared" si="9"/>
        <v/>
      </c>
      <c r="AA270" s="289" t="str">
        <f t="shared" si="10"/>
        <v/>
      </c>
      <c r="AB270" s="291" t="str">
        <f t="shared" si="11"/>
        <v/>
      </c>
      <c r="AC270" s="292" t="str">
        <f t="shared" si="12"/>
        <v/>
      </c>
      <c r="AD270" s="281"/>
      <c r="AE270" s="22"/>
    </row>
    <row r="271">
      <c r="A271" s="264"/>
      <c r="B271" s="267"/>
      <c r="C271" s="265"/>
      <c r="D271" s="265"/>
      <c r="E271" s="265"/>
      <c r="F271" s="266"/>
      <c r="G271" s="267" t="str">
        <f t="shared" si="1"/>
        <v/>
      </c>
      <c r="H271" s="264"/>
      <c r="I271" s="282"/>
      <c r="J271" s="282"/>
      <c r="K271" s="282"/>
      <c r="L271" s="282"/>
      <c r="M271" s="269"/>
      <c r="N271" s="283" t="str">
        <f t="array" ref="N271">if(C271=0,"",INDEX('Biaya Administrasi'!E:E, MATCH(I271, 'Biaya Administrasi'!B:B, 0)))</f>
        <v/>
      </c>
      <c r="O271" s="284" t="str">
        <f t="shared" si="2"/>
        <v/>
      </c>
      <c r="P271" s="285" t="str">
        <f t="array" ref="P271">if(J271=0,"",INDEX('Biaya Gratis Ongkir Xtra'!D:D, MATCH(J271, 'Biaya Gratis Ongkir Xtra'!C:C, 0)))</f>
        <v/>
      </c>
      <c r="Q271" s="286" t="str">
        <f t="shared" si="3"/>
        <v/>
      </c>
      <c r="R271" s="287" t="str">
        <f t="array" ref="R271">if(K271=0,"",INDEX('Biaya Gratis Ongkir Xtra'!$C$7:$C$10, MATCH(K271, 'Biaya Gratis Ongkir Xtra'!$B$7:$B$10, 0)))</f>
        <v/>
      </c>
      <c r="S271" s="288" t="str">
        <f t="shared" si="4"/>
        <v/>
      </c>
      <c r="T271" s="273" t="str">
        <f t="shared" si="13"/>
        <v/>
      </c>
      <c r="U271" s="287" t="str">
        <f t="array" ref="U271">if(C271=0,"",INDEX('Biaya Gratis Ongkir Xtra'!$C$3:$C$4, MATCH(L271, 'Biaya Gratis Ongkir Xtra'!$B$3:$B$4, 0)))</f>
        <v/>
      </c>
      <c r="V271" s="288" t="str">
        <f t="shared" si="6"/>
        <v/>
      </c>
      <c r="W271" s="264"/>
      <c r="X271" s="289" t="str">
        <f t="shared" si="7"/>
        <v/>
      </c>
      <c r="Y271" s="290" t="str">
        <f t="shared" si="8"/>
        <v/>
      </c>
      <c r="Z271" s="291" t="str">
        <f t="shared" si="9"/>
        <v/>
      </c>
      <c r="AA271" s="289" t="str">
        <f t="shared" si="10"/>
        <v/>
      </c>
      <c r="AB271" s="291" t="str">
        <f t="shared" si="11"/>
        <v/>
      </c>
      <c r="AC271" s="292" t="str">
        <f t="shared" si="12"/>
        <v/>
      </c>
      <c r="AD271" s="281"/>
      <c r="AE271" s="22"/>
    </row>
    <row r="272">
      <c r="A272" s="264"/>
      <c r="B272" s="267"/>
      <c r="C272" s="265"/>
      <c r="D272" s="265"/>
      <c r="E272" s="265"/>
      <c r="F272" s="266"/>
      <c r="G272" s="267" t="str">
        <f t="shared" si="1"/>
        <v/>
      </c>
      <c r="H272" s="264"/>
      <c r="I272" s="282"/>
      <c r="J272" s="282"/>
      <c r="K272" s="282"/>
      <c r="L272" s="282"/>
      <c r="M272" s="269"/>
      <c r="N272" s="283" t="str">
        <f t="array" ref="N272">if(C272=0,"",INDEX('Biaya Administrasi'!E:E, MATCH(I272, 'Biaya Administrasi'!B:B, 0)))</f>
        <v/>
      </c>
      <c r="O272" s="284" t="str">
        <f t="shared" si="2"/>
        <v/>
      </c>
      <c r="P272" s="285" t="str">
        <f t="array" ref="P272">if(J272=0,"",INDEX('Biaya Gratis Ongkir Xtra'!D:D, MATCH(J272, 'Biaya Gratis Ongkir Xtra'!C:C, 0)))</f>
        <v/>
      </c>
      <c r="Q272" s="286" t="str">
        <f t="shared" si="3"/>
        <v/>
      </c>
      <c r="R272" s="287" t="str">
        <f t="array" ref="R272">if(K272=0,"",INDEX('Biaya Gratis Ongkir Xtra'!$C$7:$C$10, MATCH(K272, 'Biaya Gratis Ongkir Xtra'!$B$7:$B$10, 0)))</f>
        <v/>
      </c>
      <c r="S272" s="288" t="str">
        <f t="shared" si="4"/>
        <v/>
      </c>
      <c r="T272" s="273" t="str">
        <f t="shared" si="13"/>
        <v/>
      </c>
      <c r="U272" s="287" t="str">
        <f t="array" ref="U272">if(C272=0,"",INDEX('Biaya Gratis Ongkir Xtra'!$C$3:$C$4, MATCH(L272, 'Biaya Gratis Ongkir Xtra'!$B$3:$B$4, 0)))</f>
        <v/>
      </c>
      <c r="V272" s="288" t="str">
        <f t="shared" si="6"/>
        <v/>
      </c>
      <c r="W272" s="264"/>
      <c r="X272" s="289" t="str">
        <f t="shared" si="7"/>
        <v/>
      </c>
      <c r="Y272" s="290" t="str">
        <f t="shared" si="8"/>
        <v/>
      </c>
      <c r="Z272" s="291" t="str">
        <f t="shared" si="9"/>
        <v/>
      </c>
      <c r="AA272" s="289" t="str">
        <f t="shared" si="10"/>
        <v/>
      </c>
      <c r="AB272" s="291" t="str">
        <f t="shared" si="11"/>
        <v/>
      </c>
      <c r="AC272" s="292" t="str">
        <f t="shared" si="12"/>
        <v/>
      </c>
      <c r="AD272" s="281"/>
      <c r="AE272" s="22"/>
    </row>
    <row r="273">
      <c r="A273" s="264"/>
      <c r="B273" s="267"/>
      <c r="C273" s="265"/>
      <c r="D273" s="265"/>
      <c r="E273" s="265"/>
      <c r="F273" s="266"/>
      <c r="G273" s="267" t="str">
        <f t="shared" si="1"/>
        <v/>
      </c>
      <c r="H273" s="264"/>
      <c r="I273" s="282"/>
      <c r="J273" s="282"/>
      <c r="K273" s="282"/>
      <c r="L273" s="282"/>
      <c r="M273" s="269"/>
      <c r="N273" s="283" t="str">
        <f t="array" ref="N273">if(C273=0,"",INDEX('Biaya Administrasi'!E:E, MATCH(I273, 'Biaya Administrasi'!B:B, 0)))</f>
        <v/>
      </c>
      <c r="O273" s="284" t="str">
        <f t="shared" si="2"/>
        <v/>
      </c>
      <c r="P273" s="285" t="str">
        <f t="array" ref="P273">if(J273=0,"",INDEX('Biaya Gratis Ongkir Xtra'!D:D, MATCH(J273, 'Biaya Gratis Ongkir Xtra'!C:C, 0)))</f>
        <v/>
      </c>
      <c r="Q273" s="286" t="str">
        <f t="shared" si="3"/>
        <v/>
      </c>
      <c r="R273" s="287" t="str">
        <f t="array" ref="R273">if(K273=0,"",INDEX('Biaya Gratis Ongkir Xtra'!$C$7:$C$10, MATCH(K273, 'Biaya Gratis Ongkir Xtra'!$B$7:$B$10, 0)))</f>
        <v/>
      </c>
      <c r="S273" s="288" t="str">
        <f t="shared" si="4"/>
        <v/>
      </c>
      <c r="T273" s="273" t="str">
        <f t="shared" si="13"/>
        <v/>
      </c>
      <c r="U273" s="287" t="str">
        <f t="array" ref="U273">if(C273=0,"",INDEX('Biaya Gratis Ongkir Xtra'!$C$3:$C$4, MATCH(L273, 'Biaya Gratis Ongkir Xtra'!$B$3:$B$4, 0)))</f>
        <v/>
      </c>
      <c r="V273" s="288" t="str">
        <f t="shared" si="6"/>
        <v/>
      </c>
      <c r="W273" s="264"/>
      <c r="X273" s="289" t="str">
        <f t="shared" si="7"/>
        <v/>
      </c>
      <c r="Y273" s="290" t="str">
        <f t="shared" si="8"/>
        <v/>
      </c>
      <c r="Z273" s="291" t="str">
        <f t="shared" si="9"/>
        <v/>
      </c>
      <c r="AA273" s="289" t="str">
        <f t="shared" si="10"/>
        <v/>
      </c>
      <c r="AB273" s="291" t="str">
        <f t="shared" si="11"/>
        <v/>
      </c>
      <c r="AC273" s="292" t="str">
        <f t="shared" si="12"/>
        <v/>
      </c>
      <c r="AD273" s="281"/>
      <c r="AE273" s="22"/>
    </row>
    <row r="274">
      <c r="A274" s="264"/>
      <c r="B274" s="267"/>
      <c r="C274" s="265"/>
      <c r="D274" s="265"/>
      <c r="E274" s="265"/>
      <c r="F274" s="266"/>
      <c r="G274" s="267" t="str">
        <f t="shared" si="1"/>
        <v/>
      </c>
      <c r="H274" s="264"/>
      <c r="I274" s="282"/>
      <c r="J274" s="282"/>
      <c r="K274" s="282"/>
      <c r="L274" s="282"/>
      <c r="M274" s="269"/>
      <c r="N274" s="283" t="str">
        <f t="array" ref="N274">if(C274=0,"",INDEX('Biaya Administrasi'!E:E, MATCH(I274, 'Biaya Administrasi'!B:B, 0)))</f>
        <v/>
      </c>
      <c r="O274" s="284" t="str">
        <f t="shared" si="2"/>
        <v/>
      </c>
      <c r="P274" s="285" t="str">
        <f t="array" ref="P274">if(J274=0,"",INDEX('Biaya Gratis Ongkir Xtra'!D:D, MATCH(J274, 'Biaya Gratis Ongkir Xtra'!C:C, 0)))</f>
        <v/>
      </c>
      <c r="Q274" s="286" t="str">
        <f t="shared" si="3"/>
        <v/>
      </c>
      <c r="R274" s="287" t="str">
        <f t="array" ref="R274">if(K274=0,"",INDEX('Biaya Gratis Ongkir Xtra'!$C$7:$C$10, MATCH(K274, 'Biaya Gratis Ongkir Xtra'!$B$7:$B$10, 0)))</f>
        <v/>
      </c>
      <c r="S274" s="288" t="str">
        <f t="shared" si="4"/>
        <v/>
      </c>
      <c r="T274" s="273" t="str">
        <f t="shared" si="13"/>
        <v/>
      </c>
      <c r="U274" s="287" t="str">
        <f t="array" ref="U274">if(C274=0,"",INDEX('Biaya Gratis Ongkir Xtra'!$C$3:$C$4, MATCH(L274, 'Biaya Gratis Ongkir Xtra'!$B$3:$B$4, 0)))</f>
        <v/>
      </c>
      <c r="V274" s="288" t="str">
        <f t="shared" si="6"/>
        <v/>
      </c>
      <c r="W274" s="264"/>
      <c r="X274" s="289" t="str">
        <f t="shared" si="7"/>
        <v/>
      </c>
      <c r="Y274" s="290" t="str">
        <f t="shared" si="8"/>
        <v/>
      </c>
      <c r="Z274" s="291" t="str">
        <f t="shared" si="9"/>
        <v/>
      </c>
      <c r="AA274" s="289" t="str">
        <f t="shared" si="10"/>
        <v/>
      </c>
      <c r="AB274" s="291" t="str">
        <f t="shared" si="11"/>
        <v/>
      </c>
      <c r="AC274" s="292" t="str">
        <f t="shared" si="12"/>
        <v/>
      </c>
      <c r="AD274" s="281"/>
      <c r="AE274" s="22"/>
    </row>
    <row r="275">
      <c r="A275" s="264"/>
      <c r="B275" s="267"/>
      <c r="C275" s="265"/>
      <c r="D275" s="265"/>
      <c r="E275" s="265"/>
      <c r="F275" s="266"/>
      <c r="G275" s="267" t="str">
        <f t="shared" si="1"/>
        <v/>
      </c>
      <c r="H275" s="264"/>
      <c r="I275" s="282"/>
      <c r="J275" s="282"/>
      <c r="K275" s="282"/>
      <c r="L275" s="282"/>
      <c r="M275" s="269"/>
      <c r="N275" s="283" t="str">
        <f t="array" ref="N275">if(C275=0,"",INDEX('Biaya Administrasi'!E:E, MATCH(I275, 'Biaya Administrasi'!B:B, 0)))</f>
        <v/>
      </c>
      <c r="O275" s="284" t="str">
        <f t="shared" si="2"/>
        <v/>
      </c>
      <c r="P275" s="285" t="str">
        <f t="array" ref="P275">if(J275=0,"",INDEX('Biaya Gratis Ongkir Xtra'!D:D, MATCH(J275, 'Biaya Gratis Ongkir Xtra'!C:C, 0)))</f>
        <v/>
      </c>
      <c r="Q275" s="286" t="str">
        <f t="shared" si="3"/>
        <v/>
      </c>
      <c r="R275" s="287" t="str">
        <f t="array" ref="R275">if(K275=0,"",INDEX('Biaya Gratis Ongkir Xtra'!$C$7:$C$10, MATCH(K275, 'Biaya Gratis Ongkir Xtra'!$B$7:$B$10, 0)))</f>
        <v/>
      </c>
      <c r="S275" s="288" t="str">
        <f t="shared" si="4"/>
        <v/>
      </c>
      <c r="T275" s="273" t="str">
        <f t="shared" si="13"/>
        <v/>
      </c>
      <c r="U275" s="287" t="str">
        <f t="array" ref="U275">if(C275=0,"",INDEX('Biaya Gratis Ongkir Xtra'!$C$3:$C$4, MATCH(L275, 'Biaya Gratis Ongkir Xtra'!$B$3:$B$4, 0)))</f>
        <v/>
      </c>
      <c r="V275" s="288" t="str">
        <f t="shared" si="6"/>
        <v/>
      </c>
      <c r="W275" s="264"/>
      <c r="X275" s="289" t="str">
        <f t="shared" si="7"/>
        <v/>
      </c>
      <c r="Y275" s="290" t="str">
        <f t="shared" si="8"/>
        <v/>
      </c>
      <c r="Z275" s="291" t="str">
        <f t="shared" si="9"/>
        <v/>
      </c>
      <c r="AA275" s="289" t="str">
        <f t="shared" si="10"/>
        <v/>
      </c>
      <c r="AB275" s="291" t="str">
        <f t="shared" si="11"/>
        <v/>
      </c>
      <c r="AC275" s="292" t="str">
        <f t="shared" si="12"/>
        <v/>
      </c>
      <c r="AD275" s="281"/>
      <c r="AE275" s="22"/>
    </row>
    <row r="276">
      <c r="A276" s="264"/>
      <c r="B276" s="267"/>
      <c r="C276" s="265"/>
      <c r="D276" s="265"/>
      <c r="E276" s="265"/>
      <c r="F276" s="266"/>
      <c r="G276" s="267" t="str">
        <f t="shared" si="1"/>
        <v/>
      </c>
      <c r="H276" s="264"/>
      <c r="I276" s="282"/>
      <c r="J276" s="282"/>
      <c r="K276" s="282"/>
      <c r="L276" s="282"/>
      <c r="M276" s="269"/>
      <c r="N276" s="283" t="str">
        <f t="array" ref="N276">if(C276=0,"",INDEX('Biaya Administrasi'!E:E, MATCH(I276, 'Biaya Administrasi'!B:B, 0)))</f>
        <v/>
      </c>
      <c r="O276" s="284" t="str">
        <f t="shared" si="2"/>
        <v/>
      </c>
      <c r="P276" s="285" t="str">
        <f t="array" ref="P276">if(J276=0,"",INDEX('Biaya Gratis Ongkir Xtra'!D:D, MATCH(J276, 'Biaya Gratis Ongkir Xtra'!C:C, 0)))</f>
        <v/>
      </c>
      <c r="Q276" s="286" t="str">
        <f t="shared" si="3"/>
        <v/>
      </c>
      <c r="R276" s="287" t="str">
        <f t="array" ref="R276">if(K276=0,"",INDEX('Biaya Gratis Ongkir Xtra'!$C$7:$C$10, MATCH(K276, 'Biaya Gratis Ongkir Xtra'!$B$7:$B$10, 0)))</f>
        <v/>
      </c>
      <c r="S276" s="288" t="str">
        <f t="shared" si="4"/>
        <v/>
      </c>
      <c r="T276" s="273" t="str">
        <f t="shared" si="13"/>
        <v/>
      </c>
      <c r="U276" s="287" t="str">
        <f t="array" ref="U276">if(C276=0,"",INDEX('Biaya Gratis Ongkir Xtra'!$C$3:$C$4, MATCH(L276, 'Biaya Gratis Ongkir Xtra'!$B$3:$B$4, 0)))</f>
        <v/>
      </c>
      <c r="V276" s="288" t="str">
        <f t="shared" si="6"/>
        <v/>
      </c>
      <c r="W276" s="264"/>
      <c r="X276" s="289" t="str">
        <f t="shared" si="7"/>
        <v/>
      </c>
      <c r="Y276" s="290" t="str">
        <f t="shared" si="8"/>
        <v/>
      </c>
      <c r="Z276" s="291" t="str">
        <f t="shared" si="9"/>
        <v/>
      </c>
      <c r="AA276" s="289" t="str">
        <f t="shared" si="10"/>
        <v/>
      </c>
      <c r="AB276" s="291" t="str">
        <f t="shared" si="11"/>
        <v/>
      </c>
      <c r="AC276" s="292" t="str">
        <f t="shared" si="12"/>
        <v/>
      </c>
      <c r="AD276" s="281"/>
      <c r="AE276" s="22"/>
    </row>
    <row r="277">
      <c r="A277" s="264"/>
      <c r="B277" s="267"/>
      <c r="C277" s="265"/>
      <c r="D277" s="265"/>
      <c r="E277" s="265"/>
      <c r="F277" s="266"/>
      <c r="G277" s="267" t="str">
        <f t="shared" si="1"/>
        <v/>
      </c>
      <c r="H277" s="264"/>
      <c r="I277" s="282"/>
      <c r="J277" s="282"/>
      <c r="K277" s="282"/>
      <c r="L277" s="282"/>
      <c r="M277" s="269"/>
      <c r="N277" s="283" t="str">
        <f t="array" ref="N277">if(C277=0,"",INDEX('Biaya Administrasi'!E:E, MATCH(I277, 'Biaya Administrasi'!B:B, 0)))</f>
        <v/>
      </c>
      <c r="O277" s="284" t="str">
        <f t="shared" si="2"/>
        <v/>
      </c>
      <c r="P277" s="285" t="str">
        <f t="array" ref="P277">if(J277=0,"",INDEX('Biaya Gratis Ongkir Xtra'!D:D, MATCH(J277, 'Biaya Gratis Ongkir Xtra'!C:C, 0)))</f>
        <v/>
      </c>
      <c r="Q277" s="286" t="str">
        <f t="shared" si="3"/>
        <v/>
      </c>
      <c r="R277" s="287" t="str">
        <f t="array" ref="R277">if(K277=0,"",INDEX('Biaya Gratis Ongkir Xtra'!$C$7:$C$10, MATCH(K277, 'Biaya Gratis Ongkir Xtra'!$B$7:$B$10, 0)))</f>
        <v/>
      </c>
      <c r="S277" s="288" t="str">
        <f t="shared" si="4"/>
        <v/>
      </c>
      <c r="T277" s="273" t="str">
        <f t="shared" si="13"/>
        <v/>
      </c>
      <c r="U277" s="287" t="str">
        <f t="array" ref="U277">if(C277=0,"",INDEX('Biaya Gratis Ongkir Xtra'!$C$3:$C$4, MATCH(L277, 'Biaya Gratis Ongkir Xtra'!$B$3:$B$4, 0)))</f>
        <v/>
      </c>
      <c r="V277" s="288" t="str">
        <f t="shared" si="6"/>
        <v/>
      </c>
      <c r="W277" s="264"/>
      <c r="X277" s="289" t="str">
        <f t="shared" si="7"/>
        <v/>
      </c>
      <c r="Y277" s="290" t="str">
        <f t="shared" si="8"/>
        <v/>
      </c>
      <c r="Z277" s="291" t="str">
        <f t="shared" si="9"/>
        <v/>
      </c>
      <c r="AA277" s="289" t="str">
        <f t="shared" si="10"/>
        <v/>
      </c>
      <c r="AB277" s="291" t="str">
        <f t="shared" si="11"/>
        <v/>
      </c>
      <c r="AC277" s="292" t="str">
        <f t="shared" si="12"/>
        <v/>
      </c>
      <c r="AD277" s="281"/>
      <c r="AE277" s="22"/>
    </row>
    <row r="278">
      <c r="A278" s="264"/>
      <c r="B278" s="267"/>
      <c r="C278" s="265"/>
      <c r="D278" s="265"/>
      <c r="E278" s="265"/>
      <c r="F278" s="266"/>
      <c r="G278" s="267" t="str">
        <f t="shared" si="1"/>
        <v/>
      </c>
      <c r="H278" s="264"/>
      <c r="I278" s="282"/>
      <c r="J278" s="282"/>
      <c r="K278" s="282"/>
      <c r="L278" s="282"/>
      <c r="M278" s="269"/>
      <c r="N278" s="283" t="str">
        <f t="array" ref="N278">if(C278=0,"",INDEX('Biaya Administrasi'!E:E, MATCH(I278, 'Biaya Administrasi'!B:B, 0)))</f>
        <v/>
      </c>
      <c r="O278" s="284" t="str">
        <f t="shared" si="2"/>
        <v/>
      </c>
      <c r="P278" s="285" t="str">
        <f t="array" ref="P278">if(J278=0,"",INDEX('Biaya Gratis Ongkir Xtra'!D:D, MATCH(J278, 'Biaya Gratis Ongkir Xtra'!C:C, 0)))</f>
        <v/>
      </c>
      <c r="Q278" s="286" t="str">
        <f t="shared" si="3"/>
        <v/>
      </c>
      <c r="R278" s="287" t="str">
        <f t="array" ref="R278">if(K278=0,"",INDEX('Biaya Gratis Ongkir Xtra'!$C$7:$C$10, MATCH(K278, 'Biaya Gratis Ongkir Xtra'!$B$7:$B$10, 0)))</f>
        <v/>
      </c>
      <c r="S278" s="288" t="str">
        <f t="shared" si="4"/>
        <v/>
      </c>
      <c r="T278" s="273" t="str">
        <f t="shared" si="13"/>
        <v/>
      </c>
      <c r="U278" s="287" t="str">
        <f t="array" ref="U278">if(C278=0,"",INDEX('Biaya Gratis Ongkir Xtra'!$C$3:$C$4, MATCH(L278, 'Biaya Gratis Ongkir Xtra'!$B$3:$B$4, 0)))</f>
        <v/>
      </c>
      <c r="V278" s="288" t="str">
        <f t="shared" si="6"/>
        <v/>
      </c>
      <c r="W278" s="264"/>
      <c r="X278" s="289" t="str">
        <f t="shared" si="7"/>
        <v/>
      </c>
      <c r="Y278" s="290" t="str">
        <f t="shared" si="8"/>
        <v/>
      </c>
      <c r="Z278" s="291" t="str">
        <f t="shared" si="9"/>
        <v/>
      </c>
      <c r="AA278" s="289" t="str">
        <f t="shared" si="10"/>
        <v/>
      </c>
      <c r="AB278" s="291" t="str">
        <f t="shared" si="11"/>
        <v/>
      </c>
      <c r="AC278" s="292" t="str">
        <f t="shared" si="12"/>
        <v/>
      </c>
      <c r="AD278" s="281"/>
      <c r="AE278" s="22"/>
    </row>
    <row r="279">
      <c r="A279" s="264"/>
      <c r="B279" s="267"/>
      <c r="C279" s="265"/>
      <c r="D279" s="265"/>
      <c r="E279" s="265"/>
      <c r="F279" s="266"/>
      <c r="G279" s="267" t="str">
        <f t="shared" si="1"/>
        <v/>
      </c>
      <c r="H279" s="264"/>
      <c r="I279" s="282"/>
      <c r="J279" s="282"/>
      <c r="K279" s="282"/>
      <c r="L279" s="282"/>
      <c r="M279" s="269"/>
      <c r="N279" s="283" t="str">
        <f t="array" ref="N279">if(C279=0,"",INDEX('Biaya Administrasi'!E:E, MATCH(I279, 'Biaya Administrasi'!B:B, 0)))</f>
        <v/>
      </c>
      <c r="O279" s="284" t="str">
        <f t="shared" si="2"/>
        <v/>
      </c>
      <c r="P279" s="285" t="str">
        <f t="array" ref="P279">if(J279=0,"",INDEX('Biaya Gratis Ongkir Xtra'!D:D, MATCH(J279, 'Biaya Gratis Ongkir Xtra'!C:C, 0)))</f>
        <v/>
      </c>
      <c r="Q279" s="286" t="str">
        <f t="shared" si="3"/>
        <v/>
      </c>
      <c r="R279" s="287" t="str">
        <f t="array" ref="R279">if(K279=0,"",INDEX('Biaya Gratis Ongkir Xtra'!$C$7:$C$10, MATCH(K279, 'Biaya Gratis Ongkir Xtra'!$B$7:$B$10, 0)))</f>
        <v/>
      </c>
      <c r="S279" s="288" t="str">
        <f t="shared" si="4"/>
        <v/>
      </c>
      <c r="T279" s="273" t="str">
        <f t="shared" si="13"/>
        <v/>
      </c>
      <c r="U279" s="287" t="str">
        <f t="array" ref="U279">if(C279=0,"",INDEX('Biaya Gratis Ongkir Xtra'!$C$3:$C$4, MATCH(L279, 'Biaya Gratis Ongkir Xtra'!$B$3:$B$4, 0)))</f>
        <v/>
      </c>
      <c r="V279" s="288" t="str">
        <f t="shared" si="6"/>
        <v/>
      </c>
      <c r="W279" s="264"/>
      <c r="X279" s="289" t="str">
        <f t="shared" si="7"/>
        <v/>
      </c>
      <c r="Y279" s="290" t="str">
        <f t="shared" si="8"/>
        <v/>
      </c>
      <c r="Z279" s="291" t="str">
        <f t="shared" si="9"/>
        <v/>
      </c>
      <c r="AA279" s="289" t="str">
        <f t="shared" si="10"/>
        <v/>
      </c>
      <c r="AB279" s="291" t="str">
        <f t="shared" si="11"/>
        <v/>
      </c>
      <c r="AC279" s="292" t="str">
        <f t="shared" si="12"/>
        <v/>
      </c>
      <c r="AD279" s="281"/>
      <c r="AE279" s="22"/>
    </row>
    <row r="280">
      <c r="A280" s="264"/>
      <c r="B280" s="267"/>
      <c r="C280" s="265"/>
      <c r="D280" s="265"/>
      <c r="E280" s="265"/>
      <c r="F280" s="266"/>
      <c r="G280" s="267" t="str">
        <f t="shared" si="1"/>
        <v/>
      </c>
      <c r="H280" s="264"/>
      <c r="I280" s="282"/>
      <c r="J280" s="282"/>
      <c r="K280" s="282"/>
      <c r="L280" s="282"/>
      <c r="M280" s="269"/>
      <c r="N280" s="283" t="str">
        <f t="array" ref="N280">if(C280=0,"",INDEX('Biaya Administrasi'!E:E, MATCH(I280, 'Biaya Administrasi'!B:B, 0)))</f>
        <v/>
      </c>
      <c r="O280" s="284" t="str">
        <f t="shared" si="2"/>
        <v/>
      </c>
      <c r="P280" s="285" t="str">
        <f t="array" ref="P280">if(J280=0,"",INDEX('Biaya Gratis Ongkir Xtra'!D:D, MATCH(J280, 'Biaya Gratis Ongkir Xtra'!C:C, 0)))</f>
        <v/>
      </c>
      <c r="Q280" s="286" t="str">
        <f t="shared" si="3"/>
        <v/>
      </c>
      <c r="R280" s="287" t="str">
        <f t="array" ref="R280">if(K280=0,"",INDEX('Biaya Gratis Ongkir Xtra'!$C$7:$C$10, MATCH(K280, 'Biaya Gratis Ongkir Xtra'!$B$7:$B$10, 0)))</f>
        <v/>
      </c>
      <c r="S280" s="288" t="str">
        <f t="shared" si="4"/>
        <v/>
      </c>
      <c r="T280" s="273" t="str">
        <f t="shared" si="13"/>
        <v/>
      </c>
      <c r="U280" s="287" t="str">
        <f t="array" ref="U280">if(C280=0,"",INDEX('Biaya Gratis Ongkir Xtra'!$C$3:$C$4, MATCH(L280, 'Biaya Gratis Ongkir Xtra'!$B$3:$B$4, 0)))</f>
        <v/>
      </c>
      <c r="V280" s="288" t="str">
        <f t="shared" si="6"/>
        <v/>
      </c>
      <c r="W280" s="264"/>
      <c r="X280" s="289" t="str">
        <f t="shared" si="7"/>
        <v/>
      </c>
      <c r="Y280" s="290" t="str">
        <f t="shared" si="8"/>
        <v/>
      </c>
      <c r="Z280" s="291" t="str">
        <f t="shared" si="9"/>
        <v/>
      </c>
      <c r="AA280" s="289" t="str">
        <f t="shared" si="10"/>
        <v/>
      </c>
      <c r="AB280" s="291" t="str">
        <f t="shared" si="11"/>
        <v/>
      </c>
      <c r="AC280" s="292" t="str">
        <f t="shared" si="12"/>
        <v/>
      </c>
      <c r="AD280" s="281"/>
      <c r="AE280" s="22"/>
    </row>
    <row r="281">
      <c r="A281" s="264"/>
      <c r="B281" s="267"/>
      <c r="C281" s="265"/>
      <c r="D281" s="265"/>
      <c r="E281" s="265"/>
      <c r="F281" s="266"/>
      <c r="G281" s="267" t="str">
        <f t="shared" si="1"/>
        <v/>
      </c>
      <c r="H281" s="264"/>
      <c r="I281" s="282"/>
      <c r="J281" s="282"/>
      <c r="K281" s="282"/>
      <c r="L281" s="282"/>
      <c r="M281" s="269"/>
      <c r="N281" s="283" t="str">
        <f t="array" ref="N281">if(C281=0,"",INDEX('Biaya Administrasi'!E:E, MATCH(I281, 'Biaya Administrasi'!B:B, 0)))</f>
        <v/>
      </c>
      <c r="O281" s="284" t="str">
        <f t="shared" si="2"/>
        <v/>
      </c>
      <c r="P281" s="285" t="str">
        <f t="array" ref="P281">if(J281=0,"",INDEX('Biaya Gratis Ongkir Xtra'!D:D, MATCH(J281, 'Biaya Gratis Ongkir Xtra'!C:C, 0)))</f>
        <v/>
      </c>
      <c r="Q281" s="286" t="str">
        <f t="shared" si="3"/>
        <v/>
      </c>
      <c r="R281" s="287" t="str">
        <f t="array" ref="R281">if(K281=0,"",INDEX('Biaya Gratis Ongkir Xtra'!$C$7:$C$10, MATCH(K281, 'Biaya Gratis Ongkir Xtra'!$B$7:$B$10, 0)))</f>
        <v/>
      </c>
      <c r="S281" s="288" t="str">
        <f t="shared" si="4"/>
        <v/>
      </c>
      <c r="T281" s="273" t="str">
        <f t="shared" si="13"/>
        <v/>
      </c>
      <c r="U281" s="287" t="str">
        <f t="array" ref="U281">if(C281=0,"",INDEX('Biaya Gratis Ongkir Xtra'!$C$3:$C$4, MATCH(L281, 'Biaya Gratis Ongkir Xtra'!$B$3:$B$4, 0)))</f>
        <v/>
      </c>
      <c r="V281" s="288" t="str">
        <f t="shared" si="6"/>
        <v/>
      </c>
      <c r="W281" s="264"/>
      <c r="X281" s="289" t="str">
        <f t="shared" si="7"/>
        <v/>
      </c>
      <c r="Y281" s="290" t="str">
        <f t="shared" si="8"/>
        <v/>
      </c>
      <c r="Z281" s="291" t="str">
        <f t="shared" si="9"/>
        <v/>
      </c>
      <c r="AA281" s="289" t="str">
        <f t="shared" si="10"/>
        <v/>
      </c>
      <c r="AB281" s="291" t="str">
        <f t="shared" si="11"/>
        <v/>
      </c>
      <c r="AC281" s="292" t="str">
        <f t="shared" si="12"/>
        <v/>
      </c>
      <c r="AD281" s="281"/>
      <c r="AE281" s="22"/>
    </row>
    <row r="282">
      <c r="A282" s="264"/>
      <c r="B282" s="267"/>
      <c r="C282" s="265"/>
      <c r="D282" s="265"/>
      <c r="E282" s="265"/>
      <c r="F282" s="266"/>
      <c r="G282" s="267" t="str">
        <f t="shared" si="1"/>
        <v/>
      </c>
      <c r="H282" s="264"/>
      <c r="I282" s="282"/>
      <c r="J282" s="282"/>
      <c r="K282" s="282"/>
      <c r="L282" s="282"/>
      <c r="M282" s="269"/>
      <c r="N282" s="283" t="str">
        <f t="array" ref="N282">if(C282=0,"",INDEX('Biaya Administrasi'!E:E, MATCH(I282, 'Biaya Administrasi'!B:B, 0)))</f>
        <v/>
      </c>
      <c r="O282" s="284" t="str">
        <f t="shared" si="2"/>
        <v/>
      </c>
      <c r="P282" s="285" t="str">
        <f t="array" ref="P282">if(J282=0,"",INDEX('Biaya Gratis Ongkir Xtra'!D:D, MATCH(J282, 'Biaya Gratis Ongkir Xtra'!C:C, 0)))</f>
        <v/>
      </c>
      <c r="Q282" s="286" t="str">
        <f t="shared" si="3"/>
        <v/>
      </c>
      <c r="R282" s="287" t="str">
        <f t="array" ref="R282">if(K282=0,"",INDEX('Biaya Gratis Ongkir Xtra'!$C$7:$C$10, MATCH(K282, 'Biaya Gratis Ongkir Xtra'!$B$7:$B$10, 0)))</f>
        <v/>
      </c>
      <c r="S282" s="288" t="str">
        <f t="shared" si="4"/>
        <v/>
      </c>
      <c r="T282" s="273" t="str">
        <f t="shared" si="13"/>
        <v/>
      </c>
      <c r="U282" s="287" t="str">
        <f t="array" ref="U282">if(C282=0,"",INDEX('Biaya Gratis Ongkir Xtra'!$C$3:$C$4, MATCH(L282, 'Biaya Gratis Ongkir Xtra'!$B$3:$B$4, 0)))</f>
        <v/>
      </c>
      <c r="V282" s="288" t="str">
        <f t="shared" si="6"/>
        <v/>
      </c>
      <c r="W282" s="264"/>
      <c r="X282" s="289" t="str">
        <f t="shared" si="7"/>
        <v/>
      </c>
      <c r="Y282" s="290" t="str">
        <f t="shared" si="8"/>
        <v/>
      </c>
      <c r="Z282" s="291" t="str">
        <f t="shared" si="9"/>
        <v/>
      </c>
      <c r="AA282" s="289" t="str">
        <f t="shared" si="10"/>
        <v/>
      </c>
      <c r="AB282" s="291" t="str">
        <f t="shared" si="11"/>
        <v/>
      </c>
      <c r="AC282" s="292" t="str">
        <f t="shared" si="12"/>
        <v/>
      </c>
      <c r="AD282" s="281"/>
      <c r="AE282" s="22"/>
    </row>
    <row r="283">
      <c r="A283" s="264"/>
      <c r="B283" s="267"/>
      <c r="C283" s="265"/>
      <c r="D283" s="265"/>
      <c r="E283" s="265"/>
      <c r="F283" s="266"/>
      <c r="G283" s="267" t="str">
        <f t="shared" si="1"/>
        <v/>
      </c>
      <c r="H283" s="264"/>
      <c r="I283" s="282"/>
      <c r="J283" s="282"/>
      <c r="K283" s="282"/>
      <c r="L283" s="282"/>
      <c r="M283" s="269"/>
      <c r="N283" s="283" t="str">
        <f t="array" ref="N283">if(C283=0,"",INDEX('Biaya Administrasi'!E:E, MATCH(I283, 'Biaya Administrasi'!B:B, 0)))</f>
        <v/>
      </c>
      <c r="O283" s="284" t="str">
        <f t="shared" si="2"/>
        <v/>
      </c>
      <c r="P283" s="285" t="str">
        <f t="array" ref="P283">if(J283=0,"",INDEX('Biaya Gratis Ongkir Xtra'!D:D, MATCH(J283, 'Biaya Gratis Ongkir Xtra'!C:C, 0)))</f>
        <v/>
      </c>
      <c r="Q283" s="286" t="str">
        <f t="shared" si="3"/>
        <v/>
      </c>
      <c r="R283" s="287" t="str">
        <f t="array" ref="R283">if(K283=0,"",INDEX('Biaya Gratis Ongkir Xtra'!$C$7:$C$10, MATCH(K283, 'Biaya Gratis Ongkir Xtra'!$B$7:$B$10, 0)))</f>
        <v/>
      </c>
      <c r="S283" s="288" t="str">
        <f t="shared" si="4"/>
        <v/>
      </c>
      <c r="T283" s="273" t="str">
        <f t="shared" si="13"/>
        <v/>
      </c>
      <c r="U283" s="287" t="str">
        <f t="array" ref="U283">if(C283=0,"",INDEX('Biaya Gratis Ongkir Xtra'!$C$3:$C$4, MATCH(L283, 'Biaya Gratis Ongkir Xtra'!$B$3:$B$4, 0)))</f>
        <v/>
      </c>
      <c r="V283" s="288" t="str">
        <f t="shared" si="6"/>
        <v/>
      </c>
      <c r="W283" s="264"/>
      <c r="X283" s="289" t="str">
        <f t="shared" si="7"/>
        <v/>
      </c>
      <c r="Y283" s="290" t="str">
        <f t="shared" si="8"/>
        <v/>
      </c>
      <c r="Z283" s="291" t="str">
        <f t="shared" si="9"/>
        <v/>
      </c>
      <c r="AA283" s="289" t="str">
        <f t="shared" si="10"/>
        <v/>
      </c>
      <c r="AB283" s="291" t="str">
        <f t="shared" si="11"/>
        <v/>
      </c>
      <c r="AC283" s="292" t="str">
        <f t="shared" si="12"/>
        <v/>
      </c>
      <c r="AD283" s="281"/>
      <c r="AE283" s="22"/>
    </row>
    <row r="284">
      <c r="A284" s="264"/>
      <c r="B284" s="267"/>
      <c r="C284" s="265"/>
      <c r="D284" s="265"/>
      <c r="E284" s="265"/>
      <c r="F284" s="266"/>
      <c r="G284" s="267" t="str">
        <f t="shared" si="1"/>
        <v/>
      </c>
      <c r="H284" s="264"/>
      <c r="I284" s="282"/>
      <c r="J284" s="282"/>
      <c r="K284" s="282"/>
      <c r="L284" s="282"/>
      <c r="M284" s="269"/>
      <c r="N284" s="283" t="str">
        <f t="array" ref="N284">if(C284=0,"",INDEX('Biaya Administrasi'!E:E, MATCH(I284, 'Biaya Administrasi'!B:B, 0)))</f>
        <v/>
      </c>
      <c r="O284" s="284" t="str">
        <f t="shared" si="2"/>
        <v/>
      </c>
      <c r="P284" s="285" t="str">
        <f t="array" ref="P284">if(J284=0,"",INDEX('Biaya Gratis Ongkir Xtra'!D:D, MATCH(J284, 'Biaya Gratis Ongkir Xtra'!C:C, 0)))</f>
        <v/>
      </c>
      <c r="Q284" s="286" t="str">
        <f t="shared" si="3"/>
        <v/>
      </c>
      <c r="R284" s="287" t="str">
        <f t="array" ref="R284">if(K284=0,"",INDEX('Biaya Gratis Ongkir Xtra'!$C$7:$C$10, MATCH(K284, 'Biaya Gratis Ongkir Xtra'!$B$7:$B$10, 0)))</f>
        <v/>
      </c>
      <c r="S284" s="288" t="str">
        <f t="shared" si="4"/>
        <v/>
      </c>
      <c r="T284" s="273" t="str">
        <f t="shared" si="13"/>
        <v/>
      </c>
      <c r="U284" s="287" t="str">
        <f t="array" ref="U284">if(C284=0,"",INDEX('Biaya Gratis Ongkir Xtra'!$C$3:$C$4, MATCH(L284, 'Biaya Gratis Ongkir Xtra'!$B$3:$B$4, 0)))</f>
        <v/>
      </c>
      <c r="V284" s="288" t="str">
        <f t="shared" si="6"/>
        <v/>
      </c>
      <c r="W284" s="264"/>
      <c r="X284" s="289" t="str">
        <f t="shared" si="7"/>
        <v/>
      </c>
      <c r="Y284" s="290" t="str">
        <f t="shared" si="8"/>
        <v/>
      </c>
      <c r="Z284" s="291" t="str">
        <f t="shared" si="9"/>
        <v/>
      </c>
      <c r="AA284" s="289" t="str">
        <f t="shared" si="10"/>
        <v/>
      </c>
      <c r="AB284" s="291" t="str">
        <f t="shared" si="11"/>
        <v/>
      </c>
      <c r="AC284" s="292" t="str">
        <f t="shared" si="12"/>
        <v/>
      </c>
      <c r="AD284" s="281"/>
      <c r="AE284" s="22"/>
    </row>
    <row r="285">
      <c r="A285" s="264"/>
      <c r="B285" s="267"/>
      <c r="C285" s="265"/>
      <c r="D285" s="265"/>
      <c r="E285" s="265"/>
      <c r="F285" s="266"/>
      <c r="G285" s="267" t="str">
        <f t="shared" si="1"/>
        <v/>
      </c>
      <c r="H285" s="264"/>
      <c r="I285" s="282"/>
      <c r="J285" s="282"/>
      <c r="K285" s="282"/>
      <c r="L285" s="282"/>
      <c r="M285" s="269"/>
      <c r="N285" s="283" t="str">
        <f t="array" ref="N285">if(C285=0,"",INDEX('Biaya Administrasi'!E:E, MATCH(I285, 'Biaya Administrasi'!B:B, 0)))</f>
        <v/>
      </c>
      <c r="O285" s="284" t="str">
        <f t="shared" si="2"/>
        <v/>
      </c>
      <c r="P285" s="285" t="str">
        <f t="array" ref="P285">if(J285=0,"",INDEX('Biaya Gratis Ongkir Xtra'!D:D, MATCH(J285, 'Biaya Gratis Ongkir Xtra'!C:C, 0)))</f>
        <v/>
      </c>
      <c r="Q285" s="286" t="str">
        <f t="shared" si="3"/>
        <v/>
      </c>
      <c r="R285" s="287" t="str">
        <f t="array" ref="R285">if(K285=0,"",INDEX('Biaya Gratis Ongkir Xtra'!$C$7:$C$10, MATCH(K285, 'Biaya Gratis Ongkir Xtra'!$B$7:$B$10, 0)))</f>
        <v/>
      </c>
      <c r="S285" s="288" t="str">
        <f t="shared" si="4"/>
        <v/>
      </c>
      <c r="T285" s="273" t="str">
        <f t="shared" si="13"/>
        <v/>
      </c>
      <c r="U285" s="287" t="str">
        <f t="array" ref="U285">if(C285=0,"",INDEX('Biaya Gratis Ongkir Xtra'!$C$3:$C$4, MATCH(L285, 'Biaya Gratis Ongkir Xtra'!$B$3:$B$4, 0)))</f>
        <v/>
      </c>
      <c r="V285" s="288" t="str">
        <f t="shared" si="6"/>
        <v/>
      </c>
      <c r="W285" s="264"/>
      <c r="X285" s="289" t="str">
        <f t="shared" si="7"/>
        <v/>
      </c>
      <c r="Y285" s="290" t="str">
        <f t="shared" si="8"/>
        <v/>
      </c>
      <c r="Z285" s="291" t="str">
        <f t="shared" si="9"/>
        <v/>
      </c>
      <c r="AA285" s="289" t="str">
        <f t="shared" si="10"/>
        <v/>
      </c>
      <c r="AB285" s="291" t="str">
        <f t="shared" si="11"/>
        <v/>
      </c>
      <c r="AC285" s="292" t="str">
        <f t="shared" si="12"/>
        <v/>
      </c>
      <c r="AD285" s="281"/>
      <c r="AE285" s="22"/>
    </row>
    <row r="286">
      <c r="A286" s="264"/>
      <c r="B286" s="267"/>
      <c r="C286" s="265"/>
      <c r="D286" s="265"/>
      <c r="E286" s="265"/>
      <c r="F286" s="266"/>
      <c r="G286" s="267" t="str">
        <f t="shared" si="1"/>
        <v/>
      </c>
      <c r="H286" s="264"/>
      <c r="I286" s="282"/>
      <c r="J286" s="282"/>
      <c r="K286" s="282"/>
      <c r="L286" s="282"/>
      <c r="M286" s="269"/>
      <c r="N286" s="283" t="str">
        <f t="array" ref="N286">if(C286=0,"",INDEX('Biaya Administrasi'!E:E, MATCH(I286, 'Biaya Administrasi'!B:B, 0)))</f>
        <v/>
      </c>
      <c r="O286" s="284" t="str">
        <f t="shared" si="2"/>
        <v/>
      </c>
      <c r="P286" s="285" t="str">
        <f t="array" ref="P286">if(J286=0,"",INDEX('Biaya Gratis Ongkir Xtra'!D:D, MATCH(J286, 'Biaya Gratis Ongkir Xtra'!C:C, 0)))</f>
        <v/>
      </c>
      <c r="Q286" s="286" t="str">
        <f t="shared" si="3"/>
        <v/>
      </c>
      <c r="R286" s="287" t="str">
        <f t="array" ref="R286">if(K286=0,"",INDEX('Biaya Gratis Ongkir Xtra'!$C$7:$C$10, MATCH(K286, 'Biaya Gratis Ongkir Xtra'!$B$7:$B$10, 0)))</f>
        <v/>
      </c>
      <c r="S286" s="288" t="str">
        <f t="shared" si="4"/>
        <v/>
      </c>
      <c r="T286" s="273" t="str">
        <f t="shared" si="13"/>
        <v/>
      </c>
      <c r="U286" s="287" t="str">
        <f t="array" ref="U286">if(C286=0,"",INDEX('Biaya Gratis Ongkir Xtra'!$C$3:$C$4, MATCH(L286, 'Biaya Gratis Ongkir Xtra'!$B$3:$B$4, 0)))</f>
        <v/>
      </c>
      <c r="V286" s="288" t="str">
        <f t="shared" si="6"/>
        <v/>
      </c>
      <c r="W286" s="264"/>
      <c r="X286" s="289" t="str">
        <f t="shared" si="7"/>
        <v/>
      </c>
      <c r="Y286" s="290" t="str">
        <f t="shared" si="8"/>
        <v/>
      </c>
      <c r="Z286" s="291" t="str">
        <f t="shared" si="9"/>
        <v/>
      </c>
      <c r="AA286" s="289" t="str">
        <f t="shared" si="10"/>
        <v/>
      </c>
      <c r="AB286" s="291" t="str">
        <f t="shared" si="11"/>
        <v/>
      </c>
      <c r="AC286" s="292" t="str">
        <f t="shared" si="12"/>
        <v/>
      </c>
      <c r="AD286" s="281"/>
      <c r="AE286" s="22"/>
    </row>
    <row r="287">
      <c r="A287" s="264"/>
      <c r="B287" s="267"/>
      <c r="C287" s="265"/>
      <c r="D287" s="265"/>
      <c r="E287" s="265"/>
      <c r="F287" s="266"/>
      <c r="G287" s="267" t="str">
        <f t="shared" si="1"/>
        <v/>
      </c>
      <c r="H287" s="264"/>
      <c r="I287" s="282"/>
      <c r="J287" s="282"/>
      <c r="K287" s="282"/>
      <c r="L287" s="282"/>
      <c r="M287" s="269"/>
      <c r="N287" s="283" t="str">
        <f t="array" ref="N287">if(C287=0,"",INDEX('Biaya Administrasi'!E:E, MATCH(I287, 'Biaya Administrasi'!B:B, 0)))</f>
        <v/>
      </c>
      <c r="O287" s="284" t="str">
        <f t="shared" si="2"/>
        <v/>
      </c>
      <c r="P287" s="285" t="str">
        <f t="array" ref="P287">if(J287=0,"",INDEX('Biaya Gratis Ongkir Xtra'!D:D, MATCH(J287, 'Biaya Gratis Ongkir Xtra'!C:C, 0)))</f>
        <v/>
      </c>
      <c r="Q287" s="286" t="str">
        <f t="shared" si="3"/>
        <v/>
      </c>
      <c r="R287" s="287" t="str">
        <f t="array" ref="R287">if(K287=0,"",INDEX('Biaya Gratis Ongkir Xtra'!$C$7:$C$10, MATCH(K287, 'Biaya Gratis Ongkir Xtra'!$B$7:$B$10, 0)))</f>
        <v/>
      </c>
      <c r="S287" s="288" t="str">
        <f t="shared" si="4"/>
        <v/>
      </c>
      <c r="T287" s="273" t="str">
        <f t="shared" si="13"/>
        <v/>
      </c>
      <c r="U287" s="287" t="str">
        <f t="array" ref="U287">if(C287=0,"",INDEX('Biaya Gratis Ongkir Xtra'!$C$3:$C$4, MATCH(L287, 'Biaya Gratis Ongkir Xtra'!$B$3:$B$4, 0)))</f>
        <v/>
      </c>
      <c r="V287" s="288" t="str">
        <f t="shared" si="6"/>
        <v/>
      </c>
      <c r="W287" s="264"/>
      <c r="X287" s="289" t="str">
        <f t="shared" si="7"/>
        <v/>
      </c>
      <c r="Y287" s="290" t="str">
        <f t="shared" si="8"/>
        <v/>
      </c>
      <c r="Z287" s="291" t="str">
        <f t="shared" si="9"/>
        <v/>
      </c>
      <c r="AA287" s="289" t="str">
        <f t="shared" si="10"/>
        <v/>
      </c>
      <c r="AB287" s="291" t="str">
        <f t="shared" si="11"/>
        <v/>
      </c>
      <c r="AC287" s="292" t="str">
        <f t="shared" si="12"/>
        <v/>
      </c>
      <c r="AD287" s="281"/>
      <c r="AE287" s="22"/>
    </row>
    <row r="288">
      <c r="A288" s="264"/>
      <c r="B288" s="267"/>
      <c r="C288" s="265"/>
      <c r="D288" s="265"/>
      <c r="E288" s="265"/>
      <c r="F288" s="266"/>
      <c r="G288" s="267" t="str">
        <f t="shared" si="1"/>
        <v/>
      </c>
      <c r="H288" s="264"/>
      <c r="I288" s="282"/>
      <c r="J288" s="282"/>
      <c r="K288" s="282"/>
      <c r="L288" s="282"/>
      <c r="M288" s="269"/>
      <c r="N288" s="283" t="str">
        <f t="array" ref="N288">if(C288=0,"",INDEX('Biaya Administrasi'!E:E, MATCH(I288, 'Biaya Administrasi'!B:B, 0)))</f>
        <v/>
      </c>
      <c r="O288" s="284" t="str">
        <f t="shared" si="2"/>
        <v/>
      </c>
      <c r="P288" s="285" t="str">
        <f t="array" ref="P288">if(J288=0,"",INDEX('Biaya Gratis Ongkir Xtra'!D:D, MATCH(J288, 'Biaya Gratis Ongkir Xtra'!C:C, 0)))</f>
        <v/>
      </c>
      <c r="Q288" s="286" t="str">
        <f t="shared" si="3"/>
        <v/>
      </c>
      <c r="R288" s="287" t="str">
        <f t="array" ref="R288">if(K288=0,"",INDEX('Biaya Gratis Ongkir Xtra'!$C$7:$C$10, MATCH(K288, 'Biaya Gratis Ongkir Xtra'!$B$7:$B$10, 0)))</f>
        <v/>
      </c>
      <c r="S288" s="288" t="str">
        <f t="shared" si="4"/>
        <v/>
      </c>
      <c r="T288" s="273" t="str">
        <f t="shared" si="13"/>
        <v/>
      </c>
      <c r="U288" s="287" t="str">
        <f t="array" ref="U288">if(C288=0,"",INDEX('Biaya Gratis Ongkir Xtra'!$C$3:$C$4, MATCH(L288, 'Biaya Gratis Ongkir Xtra'!$B$3:$B$4, 0)))</f>
        <v/>
      </c>
      <c r="V288" s="288" t="str">
        <f t="shared" si="6"/>
        <v/>
      </c>
      <c r="W288" s="264"/>
      <c r="X288" s="289" t="str">
        <f t="shared" si="7"/>
        <v/>
      </c>
      <c r="Y288" s="290" t="str">
        <f t="shared" si="8"/>
        <v/>
      </c>
      <c r="Z288" s="291" t="str">
        <f t="shared" si="9"/>
        <v/>
      </c>
      <c r="AA288" s="289" t="str">
        <f t="shared" si="10"/>
        <v/>
      </c>
      <c r="AB288" s="291" t="str">
        <f t="shared" si="11"/>
        <v/>
      </c>
      <c r="AC288" s="292" t="str">
        <f t="shared" si="12"/>
        <v/>
      </c>
      <c r="AD288" s="281"/>
      <c r="AE288" s="22"/>
    </row>
    <row r="289">
      <c r="A289" s="264"/>
      <c r="B289" s="267"/>
      <c r="C289" s="265"/>
      <c r="D289" s="265"/>
      <c r="E289" s="265"/>
      <c r="F289" s="266"/>
      <c r="G289" s="267" t="str">
        <f t="shared" si="1"/>
        <v/>
      </c>
      <c r="H289" s="264"/>
      <c r="I289" s="282"/>
      <c r="J289" s="282"/>
      <c r="K289" s="282"/>
      <c r="L289" s="282"/>
      <c r="M289" s="269"/>
      <c r="N289" s="283" t="str">
        <f t="array" ref="N289">if(C289=0,"",INDEX('Biaya Administrasi'!E:E, MATCH(I289, 'Biaya Administrasi'!B:B, 0)))</f>
        <v/>
      </c>
      <c r="O289" s="284" t="str">
        <f t="shared" si="2"/>
        <v/>
      </c>
      <c r="P289" s="285" t="str">
        <f t="array" ref="P289">if(J289=0,"",INDEX('Biaya Gratis Ongkir Xtra'!D:D, MATCH(J289, 'Biaya Gratis Ongkir Xtra'!C:C, 0)))</f>
        <v/>
      </c>
      <c r="Q289" s="286" t="str">
        <f t="shared" si="3"/>
        <v/>
      </c>
      <c r="R289" s="287" t="str">
        <f t="array" ref="R289">if(K289=0,"",INDEX('Biaya Gratis Ongkir Xtra'!$C$7:$C$10, MATCH(K289, 'Biaya Gratis Ongkir Xtra'!$B$7:$B$10, 0)))</f>
        <v/>
      </c>
      <c r="S289" s="288" t="str">
        <f t="shared" si="4"/>
        <v/>
      </c>
      <c r="T289" s="273" t="str">
        <f t="shared" si="13"/>
        <v/>
      </c>
      <c r="U289" s="287" t="str">
        <f t="array" ref="U289">if(C289=0,"",INDEX('Biaya Gratis Ongkir Xtra'!$C$3:$C$4, MATCH(L289, 'Biaya Gratis Ongkir Xtra'!$B$3:$B$4, 0)))</f>
        <v/>
      </c>
      <c r="V289" s="288" t="str">
        <f t="shared" si="6"/>
        <v/>
      </c>
      <c r="W289" s="264"/>
      <c r="X289" s="289" t="str">
        <f t="shared" si="7"/>
        <v/>
      </c>
      <c r="Y289" s="290" t="str">
        <f t="shared" si="8"/>
        <v/>
      </c>
      <c r="Z289" s="291" t="str">
        <f t="shared" si="9"/>
        <v/>
      </c>
      <c r="AA289" s="289" t="str">
        <f t="shared" si="10"/>
        <v/>
      </c>
      <c r="AB289" s="291" t="str">
        <f t="shared" si="11"/>
        <v/>
      </c>
      <c r="AC289" s="292" t="str">
        <f t="shared" si="12"/>
        <v/>
      </c>
      <c r="AD289" s="281"/>
      <c r="AE289" s="22"/>
    </row>
    <row r="290">
      <c r="A290" s="264"/>
      <c r="B290" s="267"/>
      <c r="C290" s="265"/>
      <c r="D290" s="265"/>
      <c r="E290" s="265"/>
      <c r="F290" s="266"/>
      <c r="G290" s="267" t="str">
        <f t="shared" si="1"/>
        <v/>
      </c>
      <c r="H290" s="264"/>
      <c r="I290" s="282"/>
      <c r="J290" s="282"/>
      <c r="K290" s="282"/>
      <c r="L290" s="282"/>
      <c r="M290" s="269"/>
      <c r="N290" s="283" t="str">
        <f t="array" ref="N290">if(C290=0,"",INDEX('Biaya Administrasi'!E:E, MATCH(I290, 'Biaya Administrasi'!B:B, 0)))</f>
        <v/>
      </c>
      <c r="O290" s="284" t="str">
        <f t="shared" si="2"/>
        <v/>
      </c>
      <c r="P290" s="285" t="str">
        <f t="array" ref="P290">if(J290=0,"",INDEX('Biaya Gratis Ongkir Xtra'!D:D, MATCH(J290, 'Biaya Gratis Ongkir Xtra'!C:C, 0)))</f>
        <v/>
      </c>
      <c r="Q290" s="286" t="str">
        <f t="shared" si="3"/>
        <v/>
      </c>
      <c r="R290" s="287" t="str">
        <f t="array" ref="R290">if(K290=0,"",INDEX('Biaya Gratis Ongkir Xtra'!$C$7:$C$10, MATCH(K290, 'Biaya Gratis Ongkir Xtra'!$B$7:$B$10, 0)))</f>
        <v/>
      </c>
      <c r="S290" s="288" t="str">
        <f t="shared" si="4"/>
        <v/>
      </c>
      <c r="T290" s="273" t="str">
        <f t="shared" si="13"/>
        <v/>
      </c>
      <c r="U290" s="287" t="str">
        <f t="array" ref="U290">if(C290=0,"",INDEX('Biaya Gratis Ongkir Xtra'!$C$3:$C$4, MATCH(L290, 'Biaya Gratis Ongkir Xtra'!$B$3:$B$4, 0)))</f>
        <v/>
      </c>
      <c r="V290" s="288" t="str">
        <f t="shared" si="6"/>
        <v/>
      </c>
      <c r="W290" s="264"/>
      <c r="X290" s="289" t="str">
        <f t="shared" si="7"/>
        <v/>
      </c>
      <c r="Y290" s="290" t="str">
        <f t="shared" si="8"/>
        <v/>
      </c>
      <c r="Z290" s="291" t="str">
        <f t="shared" si="9"/>
        <v/>
      </c>
      <c r="AA290" s="289" t="str">
        <f t="shared" si="10"/>
        <v/>
      </c>
      <c r="AB290" s="291" t="str">
        <f t="shared" si="11"/>
        <v/>
      </c>
      <c r="AC290" s="292" t="str">
        <f t="shared" si="12"/>
        <v/>
      </c>
      <c r="AD290" s="281"/>
      <c r="AE290" s="22"/>
    </row>
    <row r="291">
      <c r="A291" s="264"/>
      <c r="B291" s="267"/>
      <c r="C291" s="265"/>
      <c r="D291" s="265"/>
      <c r="E291" s="265"/>
      <c r="F291" s="266"/>
      <c r="G291" s="267" t="str">
        <f t="shared" si="1"/>
        <v/>
      </c>
      <c r="H291" s="264"/>
      <c r="I291" s="282"/>
      <c r="J291" s="282"/>
      <c r="K291" s="282"/>
      <c r="L291" s="282"/>
      <c r="M291" s="269"/>
      <c r="N291" s="283" t="str">
        <f t="array" ref="N291">if(C291=0,"",INDEX('Biaya Administrasi'!E:E, MATCH(I291, 'Biaya Administrasi'!B:B, 0)))</f>
        <v/>
      </c>
      <c r="O291" s="284" t="str">
        <f t="shared" si="2"/>
        <v/>
      </c>
      <c r="P291" s="285" t="str">
        <f t="array" ref="P291">if(J291=0,"",INDEX('Biaya Gratis Ongkir Xtra'!D:D, MATCH(J291, 'Biaya Gratis Ongkir Xtra'!C:C, 0)))</f>
        <v/>
      </c>
      <c r="Q291" s="286" t="str">
        <f t="shared" si="3"/>
        <v/>
      </c>
      <c r="R291" s="287" t="str">
        <f t="array" ref="R291">if(K291=0,"",INDEX('Biaya Gratis Ongkir Xtra'!$C$7:$C$10, MATCH(K291, 'Biaya Gratis Ongkir Xtra'!$B$7:$B$10, 0)))</f>
        <v/>
      </c>
      <c r="S291" s="288" t="str">
        <f t="shared" si="4"/>
        <v/>
      </c>
      <c r="T291" s="273" t="str">
        <f t="shared" si="13"/>
        <v/>
      </c>
      <c r="U291" s="287" t="str">
        <f t="array" ref="U291">if(C291=0,"",INDEX('Biaya Gratis Ongkir Xtra'!$C$3:$C$4, MATCH(L291, 'Biaya Gratis Ongkir Xtra'!$B$3:$B$4, 0)))</f>
        <v/>
      </c>
      <c r="V291" s="288" t="str">
        <f t="shared" si="6"/>
        <v/>
      </c>
      <c r="W291" s="264"/>
      <c r="X291" s="289" t="str">
        <f t="shared" si="7"/>
        <v/>
      </c>
      <c r="Y291" s="290" t="str">
        <f t="shared" si="8"/>
        <v/>
      </c>
      <c r="Z291" s="291" t="str">
        <f t="shared" si="9"/>
        <v/>
      </c>
      <c r="AA291" s="289" t="str">
        <f t="shared" si="10"/>
        <v/>
      </c>
      <c r="AB291" s="291" t="str">
        <f t="shared" si="11"/>
        <v/>
      </c>
      <c r="AC291" s="292" t="str">
        <f t="shared" si="12"/>
        <v/>
      </c>
      <c r="AD291" s="281"/>
      <c r="AE291" s="22"/>
    </row>
    <row r="292">
      <c r="A292" s="264"/>
      <c r="B292" s="267"/>
      <c r="C292" s="265"/>
      <c r="D292" s="265"/>
      <c r="E292" s="265"/>
      <c r="F292" s="266"/>
      <c r="G292" s="267" t="str">
        <f t="shared" si="1"/>
        <v/>
      </c>
      <c r="H292" s="264"/>
      <c r="I292" s="282"/>
      <c r="J292" s="282"/>
      <c r="K292" s="282"/>
      <c r="L292" s="282"/>
      <c r="M292" s="269"/>
      <c r="N292" s="283" t="str">
        <f t="array" ref="N292">if(C292=0,"",INDEX('Biaya Administrasi'!E:E, MATCH(I292, 'Biaya Administrasi'!B:B, 0)))</f>
        <v/>
      </c>
      <c r="O292" s="284" t="str">
        <f t="shared" si="2"/>
        <v/>
      </c>
      <c r="P292" s="285" t="str">
        <f t="array" ref="P292">if(J292=0,"",INDEX('Biaya Gratis Ongkir Xtra'!D:D, MATCH(J292, 'Biaya Gratis Ongkir Xtra'!C:C, 0)))</f>
        <v/>
      </c>
      <c r="Q292" s="286" t="str">
        <f t="shared" si="3"/>
        <v/>
      </c>
      <c r="R292" s="287" t="str">
        <f t="array" ref="R292">if(K292=0,"",INDEX('Biaya Gratis Ongkir Xtra'!$C$7:$C$10, MATCH(K292, 'Biaya Gratis Ongkir Xtra'!$B$7:$B$10, 0)))</f>
        <v/>
      </c>
      <c r="S292" s="288" t="str">
        <f t="shared" si="4"/>
        <v/>
      </c>
      <c r="T292" s="273" t="str">
        <f t="shared" si="13"/>
        <v/>
      </c>
      <c r="U292" s="287" t="str">
        <f t="array" ref="U292">if(C292=0,"",INDEX('Biaya Gratis Ongkir Xtra'!$C$3:$C$4, MATCH(L292, 'Biaya Gratis Ongkir Xtra'!$B$3:$B$4, 0)))</f>
        <v/>
      </c>
      <c r="V292" s="288" t="str">
        <f t="shared" si="6"/>
        <v/>
      </c>
      <c r="W292" s="264"/>
      <c r="X292" s="289" t="str">
        <f t="shared" si="7"/>
        <v/>
      </c>
      <c r="Y292" s="290" t="str">
        <f t="shared" si="8"/>
        <v/>
      </c>
      <c r="Z292" s="291" t="str">
        <f t="shared" si="9"/>
        <v/>
      </c>
      <c r="AA292" s="289" t="str">
        <f t="shared" si="10"/>
        <v/>
      </c>
      <c r="AB292" s="291" t="str">
        <f t="shared" si="11"/>
        <v/>
      </c>
      <c r="AC292" s="292" t="str">
        <f t="shared" si="12"/>
        <v/>
      </c>
      <c r="AD292" s="281"/>
      <c r="AE292" s="22"/>
    </row>
    <row r="293">
      <c r="A293" s="264"/>
      <c r="B293" s="267"/>
      <c r="C293" s="265"/>
      <c r="D293" s="265"/>
      <c r="E293" s="265"/>
      <c r="F293" s="266"/>
      <c r="G293" s="267" t="str">
        <f t="shared" si="1"/>
        <v/>
      </c>
      <c r="H293" s="264"/>
      <c r="I293" s="282"/>
      <c r="J293" s="282"/>
      <c r="K293" s="282"/>
      <c r="L293" s="282"/>
      <c r="M293" s="269"/>
      <c r="N293" s="283" t="str">
        <f t="array" ref="N293">if(C293=0,"",INDEX('Biaya Administrasi'!E:E, MATCH(I293, 'Biaya Administrasi'!B:B, 0)))</f>
        <v/>
      </c>
      <c r="O293" s="284" t="str">
        <f t="shared" si="2"/>
        <v/>
      </c>
      <c r="P293" s="285" t="str">
        <f t="array" ref="P293">if(J293=0,"",INDEX('Biaya Gratis Ongkir Xtra'!D:D, MATCH(J293, 'Biaya Gratis Ongkir Xtra'!C:C, 0)))</f>
        <v/>
      </c>
      <c r="Q293" s="286" t="str">
        <f t="shared" si="3"/>
        <v/>
      </c>
      <c r="R293" s="287" t="str">
        <f t="array" ref="R293">if(K293=0,"",INDEX('Biaya Gratis Ongkir Xtra'!$C$7:$C$10, MATCH(K293, 'Biaya Gratis Ongkir Xtra'!$B$7:$B$10, 0)))</f>
        <v/>
      </c>
      <c r="S293" s="288" t="str">
        <f t="shared" si="4"/>
        <v/>
      </c>
      <c r="T293" s="273" t="str">
        <f t="shared" si="13"/>
        <v/>
      </c>
      <c r="U293" s="287" t="str">
        <f t="array" ref="U293">if(C293=0,"",INDEX('Biaya Gratis Ongkir Xtra'!$C$3:$C$4, MATCH(L293, 'Biaya Gratis Ongkir Xtra'!$B$3:$B$4, 0)))</f>
        <v/>
      </c>
      <c r="V293" s="288" t="str">
        <f t="shared" si="6"/>
        <v/>
      </c>
      <c r="W293" s="264"/>
      <c r="X293" s="289" t="str">
        <f t="shared" si="7"/>
        <v/>
      </c>
      <c r="Y293" s="290" t="str">
        <f t="shared" si="8"/>
        <v/>
      </c>
      <c r="Z293" s="291" t="str">
        <f t="shared" si="9"/>
        <v/>
      </c>
      <c r="AA293" s="289" t="str">
        <f t="shared" si="10"/>
        <v/>
      </c>
      <c r="AB293" s="291" t="str">
        <f t="shared" si="11"/>
        <v/>
      </c>
      <c r="AC293" s="292" t="str">
        <f t="shared" si="12"/>
        <v/>
      </c>
      <c r="AD293" s="281"/>
      <c r="AE293" s="22"/>
    </row>
    <row r="294">
      <c r="A294" s="264"/>
      <c r="B294" s="267"/>
      <c r="C294" s="265"/>
      <c r="D294" s="265"/>
      <c r="E294" s="265"/>
      <c r="F294" s="266"/>
      <c r="G294" s="267" t="str">
        <f t="shared" si="1"/>
        <v/>
      </c>
      <c r="H294" s="264"/>
      <c r="I294" s="282"/>
      <c r="J294" s="282"/>
      <c r="K294" s="282"/>
      <c r="L294" s="282"/>
      <c r="M294" s="269"/>
      <c r="N294" s="283" t="str">
        <f t="array" ref="N294">if(C294=0,"",INDEX('Biaya Administrasi'!E:E, MATCH(I294, 'Biaya Administrasi'!B:B, 0)))</f>
        <v/>
      </c>
      <c r="O294" s="284" t="str">
        <f t="shared" si="2"/>
        <v/>
      </c>
      <c r="P294" s="285" t="str">
        <f t="array" ref="P294">if(J294=0,"",INDEX('Biaya Gratis Ongkir Xtra'!D:D, MATCH(J294, 'Biaya Gratis Ongkir Xtra'!C:C, 0)))</f>
        <v/>
      </c>
      <c r="Q294" s="286" t="str">
        <f t="shared" si="3"/>
        <v/>
      </c>
      <c r="R294" s="287" t="str">
        <f t="array" ref="R294">if(K294=0,"",INDEX('Biaya Gratis Ongkir Xtra'!$C$7:$C$10, MATCH(K294, 'Biaya Gratis Ongkir Xtra'!$B$7:$B$10, 0)))</f>
        <v/>
      </c>
      <c r="S294" s="288" t="str">
        <f t="shared" si="4"/>
        <v/>
      </c>
      <c r="T294" s="273" t="str">
        <f t="shared" si="13"/>
        <v/>
      </c>
      <c r="U294" s="287" t="str">
        <f t="array" ref="U294">if(C294=0,"",INDEX('Biaya Gratis Ongkir Xtra'!$C$3:$C$4, MATCH(L294, 'Biaya Gratis Ongkir Xtra'!$B$3:$B$4, 0)))</f>
        <v/>
      </c>
      <c r="V294" s="288" t="str">
        <f t="shared" si="6"/>
        <v/>
      </c>
      <c r="W294" s="264"/>
      <c r="X294" s="289" t="str">
        <f t="shared" si="7"/>
        <v/>
      </c>
      <c r="Y294" s="290" t="str">
        <f t="shared" si="8"/>
        <v/>
      </c>
      <c r="Z294" s="291" t="str">
        <f t="shared" si="9"/>
        <v/>
      </c>
      <c r="AA294" s="289" t="str">
        <f t="shared" si="10"/>
        <v/>
      </c>
      <c r="AB294" s="291" t="str">
        <f t="shared" si="11"/>
        <v/>
      </c>
      <c r="AC294" s="292" t="str">
        <f t="shared" si="12"/>
        <v/>
      </c>
      <c r="AD294" s="281"/>
      <c r="AE294" s="22"/>
    </row>
    <row r="295">
      <c r="A295" s="264"/>
      <c r="B295" s="267"/>
      <c r="C295" s="265"/>
      <c r="D295" s="265"/>
      <c r="E295" s="265"/>
      <c r="F295" s="266"/>
      <c r="G295" s="267" t="str">
        <f t="shared" si="1"/>
        <v/>
      </c>
      <c r="H295" s="264"/>
      <c r="I295" s="282"/>
      <c r="J295" s="282"/>
      <c r="K295" s="282"/>
      <c r="L295" s="282"/>
      <c r="M295" s="269"/>
      <c r="N295" s="283" t="str">
        <f t="array" ref="N295">if(C295=0,"",INDEX('Biaya Administrasi'!E:E, MATCH(I295, 'Biaya Administrasi'!B:B, 0)))</f>
        <v/>
      </c>
      <c r="O295" s="284" t="str">
        <f t="shared" si="2"/>
        <v/>
      </c>
      <c r="P295" s="285" t="str">
        <f t="array" ref="P295">if(J295=0,"",INDEX('Biaya Gratis Ongkir Xtra'!D:D, MATCH(J295, 'Biaya Gratis Ongkir Xtra'!C:C, 0)))</f>
        <v/>
      </c>
      <c r="Q295" s="286" t="str">
        <f t="shared" si="3"/>
        <v/>
      </c>
      <c r="R295" s="287" t="str">
        <f t="array" ref="R295">if(K295=0,"",INDEX('Biaya Gratis Ongkir Xtra'!$C$7:$C$10, MATCH(K295, 'Biaya Gratis Ongkir Xtra'!$B$7:$B$10, 0)))</f>
        <v/>
      </c>
      <c r="S295" s="288" t="str">
        <f t="shared" si="4"/>
        <v/>
      </c>
      <c r="T295" s="273" t="str">
        <f t="shared" si="13"/>
        <v/>
      </c>
      <c r="U295" s="287" t="str">
        <f t="array" ref="U295">if(C295=0,"",INDEX('Biaya Gratis Ongkir Xtra'!$C$3:$C$4, MATCH(L295, 'Biaya Gratis Ongkir Xtra'!$B$3:$B$4, 0)))</f>
        <v/>
      </c>
      <c r="V295" s="288" t="str">
        <f t="shared" si="6"/>
        <v/>
      </c>
      <c r="W295" s="264"/>
      <c r="X295" s="289" t="str">
        <f t="shared" si="7"/>
        <v/>
      </c>
      <c r="Y295" s="290" t="str">
        <f t="shared" si="8"/>
        <v/>
      </c>
      <c r="Z295" s="291" t="str">
        <f t="shared" si="9"/>
        <v/>
      </c>
      <c r="AA295" s="289" t="str">
        <f t="shared" si="10"/>
        <v/>
      </c>
      <c r="AB295" s="291" t="str">
        <f t="shared" si="11"/>
        <v/>
      </c>
      <c r="AC295" s="292" t="str">
        <f t="shared" si="12"/>
        <v/>
      </c>
      <c r="AD295" s="281"/>
      <c r="AE295" s="22"/>
    </row>
    <row r="296">
      <c r="A296" s="264"/>
      <c r="B296" s="267"/>
      <c r="C296" s="265"/>
      <c r="D296" s="265"/>
      <c r="E296" s="265"/>
      <c r="F296" s="266"/>
      <c r="G296" s="267" t="str">
        <f t="shared" si="1"/>
        <v/>
      </c>
      <c r="H296" s="264"/>
      <c r="I296" s="282"/>
      <c r="J296" s="282"/>
      <c r="K296" s="282"/>
      <c r="L296" s="282"/>
      <c r="M296" s="269"/>
      <c r="N296" s="283" t="str">
        <f t="array" ref="N296">if(C296=0,"",INDEX('Biaya Administrasi'!E:E, MATCH(I296, 'Biaya Administrasi'!B:B, 0)))</f>
        <v/>
      </c>
      <c r="O296" s="284" t="str">
        <f t="shared" si="2"/>
        <v/>
      </c>
      <c r="P296" s="285" t="str">
        <f t="array" ref="P296">if(J296=0,"",INDEX('Biaya Gratis Ongkir Xtra'!D:D, MATCH(J296, 'Biaya Gratis Ongkir Xtra'!C:C, 0)))</f>
        <v/>
      </c>
      <c r="Q296" s="286" t="str">
        <f t="shared" si="3"/>
        <v/>
      </c>
      <c r="R296" s="287" t="str">
        <f t="array" ref="R296">if(K296=0,"",INDEX('Biaya Gratis Ongkir Xtra'!$C$7:$C$10, MATCH(K296, 'Biaya Gratis Ongkir Xtra'!$B$7:$B$10, 0)))</f>
        <v/>
      </c>
      <c r="S296" s="288" t="str">
        <f t="shared" si="4"/>
        <v/>
      </c>
      <c r="T296" s="273" t="str">
        <f t="shared" si="13"/>
        <v/>
      </c>
      <c r="U296" s="287" t="str">
        <f t="array" ref="U296">if(C296=0,"",INDEX('Biaya Gratis Ongkir Xtra'!$C$3:$C$4, MATCH(L296, 'Biaya Gratis Ongkir Xtra'!$B$3:$B$4, 0)))</f>
        <v/>
      </c>
      <c r="V296" s="288" t="str">
        <f t="shared" si="6"/>
        <v/>
      </c>
      <c r="W296" s="264"/>
      <c r="X296" s="289" t="str">
        <f t="shared" si="7"/>
        <v/>
      </c>
      <c r="Y296" s="290" t="str">
        <f t="shared" si="8"/>
        <v/>
      </c>
      <c r="Z296" s="291" t="str">
        <f t="shared" si="9"/>
        <v/>
      </c>
      <c r="AA296" s="289" t="str">
        <f t="shared" si="10"/>
        <v/>
      </c>
      <c r="AB296" s="291" t="str">
        <f t="shared" si="11"/>
        <v/>
      </c>
      <c r="AC296" s="292" t="str">
        <f t="shared" si="12"/>
        <v/>
      </c>
      <c r="AD296" s="281"/>
      <c r="AE296" s="22"/>
    </row>
    <row r="297">
      <c r="A297" s="264"/>
      <c r="B297" s="267"/>
      <c r="C297" s="265"/>
      <c r="D297" s="265"/>
      <c r="E297" s="265"/>
      <c r="F297" s="266"/>
      <c r="G297" s="267" t="str">
        <f t="shared" si="1"/>
        <v/>
      </c>
      <c r="H297" s="264"/>
      <c r="I297" s="282"/>
      <c r="J297" s="282"/>
      <c r="K297" s="282"/>
      <c r="L297" s="282"/>
      <c r="M297" s="269"/>
      <c r="N297" s="283" t="str">
        <f t="array" ref="N297">if(C297=0,"",INDEX('Biaya Administrasi'!E:E, MATCH(I297, 'Biaya Administrasi'!B:B, 0)))</f>
        <v/>
      </c>
      <c r="O297" s="284" t="str">
        <f t="shared" si="2"/>
        <v/>
      </c>
      <c r="P297" s="285" t="str">
        <f t="array" ref="P297">if(J297=0,"",INDEX('Biaya Gratis Ongkir Xtra'!D:D, MATCH(J297, 'Biaya Gratis Ongkir Xtra'!C:C, 0)))</f>
        <v/>
      </c>
      <c r="Q297" s="286" t="str">
        <f t="shared" si="3"/>
        <v/>
      </c>
      <c r="R297" s="287" t="str">
        <f t="array" ref="R297">if(K297=0,"",INDEX('Biaya Gratis Ongkir Xtra'!$C$7:$C$10, MATCH(K297, 'Biaya Gratis Ongkir Xtra'!$B$7:$B$10, 0)))</f>
        <v/>
      </c>
      <c r="S297" s="288" t="str">
        <f t="shared" si="4"/>
        <v/>
      </c>
      <c r="T297" s="273" t="str">
        <f t="shared" si="13"/>
        <v/>
      </c>
      <c r="U297" s="287" t="str">
        <f t="array" ref="U297">if(C297=0,"",INDEX('Biaya Gratis Ongkir Xtra'!$C$3:$C$4, MATCH(L297, 'Biaya Gratis Ongkir Xtra'!$B$3:$B$4, 0)))</f>
        <v/>
      </c>
      <c r="V297" s="288" t="str">
        <f t="shared" si="6"/>
        <v/>
      </c>
      <c r="W297" s="264"/>
      <c r="X297" s="289" t="str">
        <f t="shared" si="7"/>
        <v/>
      </c>
      <c r="Y297" s="290" t="str">
        <f t="shared" si="8"/>
        <v/>
      </c>
      <c r="Z297" s="291" t="str">
        <f t="shared" si="9"/>
        <v/>
      </c>
      <c r="AA297" s="289" t="str">
        <f t="shared" si="10"/>
        <v/>
      </c>
      <c r="AB297" s="291" t="str">
        <f t="shared" si="11"/>
        <v/>
      </c>
      <c r="AC297" s="292" t="str">
        <f t="shared" si="12"/>
        <v/>
      </c>
      <c r="AD297" s="281"/>
      <c r="AE297" s="22"/>
    </row>
    <row r="298">
      <c r="A298" s="264"/>
      <c r="B298" s="267"/>
      <c r="C298" s="265"/>
      <c r="D298" s="265"/>
      <c r="E298" s="265"/>
      <c r="F298" s="266"/>
      <c r="G298" s="267" t="str">
        <f t="shared" si="1"/>
        <v/>
      </c>
      <c r="H298" s="264"/>
      <c r="I298" s="282"/>
      <c r="J298" s="282"/>
      <c r="K298" s="282"/>
      <c r="L298" s="282"/>
      <c r="M298" s="269"/>
      <c r="N298" s="283" t="str">
        <f t="array" ref="N298">if(C298=0,"",INDEX('Biaya Administrasi'!E:E, MATCH(I298, 'Biaya Administrasi'!B:B, 0)))</f>
        <v/>
      </c>
      <c r="O298" s="284" t="str">
        <f t="shared" si="2"/>
        <v/>
      </c>
      <c r="P298" s="285" t="str">
        <f t="array" ref="P298">if(J298=0,"",INDEX('Biaya Gratis Ongkir Xtra'!D:D, MATCH(J298, 'Biaya Gratis Ongkir Xtra'!C:C, 0)))</f>
        <v/>
      </c>
      <c r="Q298" s="286" t="str">
        <f t="shared" si="3"/>
        <v/>
      </c>
      <c r="R298" s="287" t="str">
        <f t="array" ref="R298">if(K298=0,"",INDEX('Biaya Gratis Ongkir Xtra'!$C$7:$C$10, MATCH(K298, 'Biaya Gratis Ongkir Xtra'!$B$7:$B$10, 0)))</f>
        <v/>
      </c>
      <c r="S298" s="288" t="str">
        <f t="shared" si="4"/>
        <v/>
      </c>
      <c r="T298" s="273" t="str">
        <f t="shared" si="13"/>
        <v/>
      </c>
      <c r="U298" s="287" t="str">
        <f t="array" ref="U298">if(C298=0,"",INDEX('Biaya Gratis Ongkir Xtra'!$C$3:$C$4, MATCH(L298, 'Biaya Gratis Ongkir Xtra'!$B$3:$B$4, 0)))</f>
        <v/>
      </c>
      <c r="V298" s="288" t="str">
        <f t="shared" si="6"/>
        <v/>
      </c>
      <c r="W298" s="264"/>
      <c r="X298" s="289" t="str">
        <f t="shared" si="7"/>
        <v/>
      </c>
      <c r="Y298" s="290" t="str">
        <f t="shared" si="8"/>
        <v/>
      </c>
      <c r="Z298" s="291" t="str">
        <f t="shared" si="9"/>
        <v/>
      </c>
      <c r="AA298" s="289" t="str">
        <f t="shared" si="10"/>
        <v/>
      </c>
      <c r="AB298" s="291" t="str">
        <f t="shared" si="11"/>
        <v/>
      </c>
      <c r="AC298" s="292" t="str">
        <f t="shared" si="12"/>
        <v/>
      </c>
      <c r="AD298" s="281"/>
      <c r="AE298" s="22"/>
    </row>
    <row r="299">
      <c r="A299" s="264"/>
      <c r="B299" s="267"/>
      <c r="C299" s="265"/>
      <c r="D299" s="265"/>
      <c r="E299" s="265"/>
      <c r="F299" s="266"/>
      <c r="G299" s="267" t="str">
        <f t="shared" si="1"/>
        <v/>
      </c>
      <c r="H299" s="264"/>
      <c r="I299" s="282"/>
      <c r="J299" s="282"/>
      <c r="K299" s="282"/>
      <c r="L299" s="282"/>
      <c r="M299" s="269"/>
      <c r="N299" s="283" t="str">
        <f t="array" ref="N299">if(C299=0,"",INDEX('Biaya Administrasi'!E:E, MATCH(I299, 'Biaya Administrasi'!B:B, 0)))</f>
        <v/>
      </c>
      <c r="O299" s="284" t="str">
        <f t="shared" si="2"/>
        <v/>
      </c>
      <c r="P299" s="285" t="str">
        <f t="array" ref="P299">if(J299=0,"",INDEX('Biaya Gratis Ongkir Xtra'!D:D, MATCH(J299, 'Biaya Gratis Ongkir Xtra'!C:C, 0)))</f>
        <v/>
      </c>
      <c r="Q299" s="286" t="str">
        <f t="shared" si="3"/>
        <v/>
      </c>
      <c r="R299" s="287" t="str">
        <f t="array" ref="R299">if(K299=0,"",INDEX('Biaya Gratis Ongkir Xtra'!$C$7:$C$10, MATCH(K299, 'Biaya Gratis Ongkir Xtra'!$B$7:$B$10, 0)))</f>
        <v/>
      </c>
      <c r="S299" s="288" t="str">
        <f t="shared" si="4"/>
        <v/>
      </c>
      <c r="T299" s="273" t="str">
        <f t="shared" si="13"/>
        <v/>
      </c>
      <c r="U299" s="287" t="str">
        <f t="array" ref="U299">if(C299=0,"",INDEX('Biaya Gratis Ongkir Xtra'!$C$3:$C$4, MATCH(L299, 'Biaya Gratis Ongkir Xtra'!$B$3:$B$4, 0)))</f>
        <v/>
      </c>
      <c r="V299" s="288" t="str">
        <f t="shared" si="6"/>
        <v/>
      </c>
      <c r="W299" s="264"/>
      <c r="X299" s="289" t="str">
        <f t="shared" si="7"/>
        <v/>
      </c>
      <c r="Y299" s="290" t="str">
        <f t="shared" si="8"/>
        <v/>
      </c>
      <c r="Z299" s="291" t="str">
        <f t="shared" si="9"/>
        <v/>
      </c>
      <c r="AA299" s="289" t="str">
        <f t="shared" si="10"/>
        <v/>
      </c>
      <c r="AB299" s="291" t="str">
        <f t="shared" si="11"/>
        <v/>
      </c>
      <c r="AC299" s="292" t="str">
        <f t="shared" si="12"/>
        <v/>
      </c>
      <c r="AD299" s="281"/>
      <c r="AE299" s="22"/>
    </row>
    <row r="300">
      <c r="A300" s="264"/>
      <c r="B300" s="267"/>
      <c r="C300" s="265"/>
      <c r="D300" s="265"/>
      <c r="E300" s="265"/>
      <c r="F300" s="266"/>
      <c r="G300" s="267" t="str">
        <f t="shared" si="1"/>
        <v/>
      </c>
      <c r="H300" s="264"/>
      <c r="I300" s="282"/>
      <c r="J300" s="282"/>
      <c r="K300" s="282"/>
      <c r="L300" s="282"/>
      <c r="M300" s="269"/>
      <c r="N300" s="283" t="str">
        <f t="array" ref="N300">if(C300=0,"",INDEX('Biaya Administrasi'!E:E, MATCH(I300, 'Biaya Administrasi'!B:B, 0)))</f>
        <v/>
      </c>
      <c r="O300" s="284" t="str">
        <f t="shared" si="2"/>
        <v/>
      </c>
      <c r="P300" s="285" t="str">
        <f t="array" ref="P300">if(J300=0,"",INDEX('Biaya Gratis Ongkir Xtra'!D:D, MATCH(J300, 'Biaya Gratis Ongkir Xtra'!C:C, 0)))</f>
        <v/>
      </c>
      <c r="Q300" s="286" t="str">
        <f t="shared" si="3"/>
        <v/>
      </c>
      <c r="R300" s="287" t="str">
        <f t="array" ref="R300">if(K300=0,"",INDEX('Biaya Gratis Ongkir Xtra'!$C$7:$C$10, MATCH(K300, 'Biaya Gratis Ongkir Xtra'!$B$7:$B$10, 0)))</f>
        <v/>
      </c>
      <c r="S300" s="288" t="str">
        <f t="shared" si="4"/>
        <v/>
      </c>
      <c r="T300" s="273" t="str">
        <f t="shared" si="13"/>
        <v/>
      </c>
      <c r="U300" s="287" t="str">
        <f t="array" ref="U300">if(C300=0,"",INDEX('Biaya Gratis Ongkir Xtra'!$C$3:$C$4, MATCH(L300, 'Biaya Gratis Ongkir Xtra'!$B$3:$B$4, 0)))</f>
        <v/>
      </c>
      <c r="V300" s="288" t="str">
        <f t="shared" si="6"/>
        <v/>
      </c>
      <c r="W300" s="264"/>
      <c r="X300" s="289" t="str">
        <f t="shared" si="7"/>
        <v/>
      </c>
      <c r="Y300" s="290" t="str">
        <f t="shared" si="8"/>
        <v/>
      </c>
      <c r="Z300" s="291" t="str">
        <f t="shared" si="9"/>
        <v/>
      </c>
      <c r="AA300" s="289" t="str">
        <f t="shared" si="10"/>
        <v/>
      </c>
      <c r="AB300" s="291" t="str">
        <f t="shared" si="11"/>
        <v/>
      </c>
      <c r="AC300" s="292" t="str">
        <f t="shared" si="12"/>
        <v/>
      </c>
      <c r="AD300" s="281"/>
      <c r="AE300" s="22"/>
    </row>
    <row r="301">
      <c r="A301" s="264"/>
      <c r="B301" s="267"/>
      <c r="C301" s="265"/>
      <c r="D301" s="265"/>
      <c r="E301" s="265"/>
      <c r="F301" s="266"/>
      <c r="G301" s="267" t="str">
        <f t="shared" si="1"/>
        <v/>
      </c>
      <c r="H301" s="264"/>
      <c r="I301" s="282"/>
      <c r="J301" s="282"/>
      <c r="K301" s="282"/>
      <c r="L301" s="282"/>
      <c r="M301" s="269"/>
      <c r="N301" s="283" t="str">
        <f t="array" ref="N301">if(C301=0,"",INDEX('Biaya Administrasi'!E:E, MATCH(I301, 'Biaya Administrasi'!B:B, 0)))</f>
        <v/>
      </c>
      <c r="O301" s="284" t="str">
        <f t="shared" si="2"/>
        <v/>
      </c>
      <c r="P301" s="285" t="str">
        <f t="array" ref="P301">if(J301=0,"",INDEX('Biaya Gratis Ongkir Xtra'!D:D, MATCH(J301, 'Biaya Gratis Ongkir Xtra'!C:C, 0)))</f>
        <v/>
      </c>
      <c r="Q301" s="286" t="str">
        <f t="shared" si="3"/>
        <v/>
      </c>
      <c r="R301" s="287" t="str">
        <f t="array" ref="R301">if(K301=0,"",INDEX('Biaya Gratis Ongkir Xtra'!$C$7:$C$10, MATCH(K301, 'Biaya Gratis Ongkir Xtra'!$B$7:$B$10, 0)))</f>
        <v/>
      </c>
      <c r="S301" s="288" t="str">
        <f t="shared" si="4"/>
        <v/>
      </c>
      <c r="T301" s="273" t="str">
        <f t="shared" si="13"/>
        <v/>
      </c>
      <c r="U301" s="287" t="str">
        <f t="array" ref="U301">if(C301=0,"",INDEX('Biaya Gratis Ongkir Xtra'!$C$3:$C$4, MATCH(L301, 'Biaya Gratis Ongkir Xtra'!$B$3:$B$4, 0)))</f>
        <v/>
      </c>
      <c r="V301" s="288" t="str">
        <f t="shared" si="6"/>
        <v/>
      </c>
      <c r="W301" s="264"/>
      <c r="X301" s="289" t="str">
        <f t="shared" si="7"/>
        <v/>
      </c>
      <c r="Y301" s="290" t="str">
        <f t="shared" si="8"/>
        <v/>
      </c>
      <c r="Z301" s="291" t="str">
        <f t="shared" si="9"/>
        <v/>
      </c>
      <c r="AA301" s="289" t="str">
        <f t="shared" si="10"/>
        <v/>
      </c>
      <c r="AB301" s="291" t="str">
        <f t="shared" si="11"/>
        <v/>
      </c>
      <c r="AC301" s="292" t="str">
        <f t="shared" si="12"/>
        <v/>
      </c>
      <c r="AD301" s="281"/>
      <c r="AE301" s="22"/>
    </row>
    <row r="302">
      <c r="A302" s="264"/>
      <c r="B302" s="267"/>
      <c r="C302" s="265"/>
      <c r="D302" s="265"/>
      <c r="E302" s="265"/>
      <c r="F302" s="266"/>
      <c r="G302" s="267" t="str">
        <f t="shared" si="1"/>
        <v/>
      </c>
      <c r="H302" s="264"/>
      <c r="I302" s="282"/>
      <c r="J302" s="282"/>
      <c r="K302" s="282"/>
      <c r="L302" s="282"/>
      <c r="M302" s="269"/>
      <c r="N302" s="283" t="str">
        <f t="array" ref="N302">if(C302=0,"",INDEX('Biaya Administrasi'!E:E, MATCH(I302, 'Biaya Administrasi'!B:B, 0)))</f>
        <v/>
      </c>
      <c r="O302" s="284" t="str">
        <f t="shared" si="2"/>
        <v/>
      </c>
      <c r="P302" s="285" t="str">
        <f t="array" ref="P302">if(J302=0,"",INDEX('Biaya Gratis Ongkir Xtra'!D:D, MATCH(J302, 'Biaya Gratis Ongkir Xtra'!C:C, 0)))</f>
        <v/>
      </c>
      <c r="Q302" s="286" t="str">
        <f t="shared" si="3"/>
        <v/>
      </c>
      <c r="R302" s="287" t="str">
        <f t="array" ref="R302">if(K302=0,"",INDEX('Biaya Gratis Ongkir Xtra'!$C$7:$C$10, MATCH(K302, 'Biaya Gratis Ongkir Xtra'!$B$7:$B$10, 0)))</f>
        <v/>
      </c>
      <c r="S302" s="288" t="str">
        <f t="shared" si="4"/>
        <v/>
      </c>
      <c r="T302" s="273" t="str">
        <f t="shared" si="13"/>
        <v/>
      </c>
      <c r="U302" s="287" t="str">
        <f t="array" ref="U302">if(C302=0,"",INDEX('Biaya Gratis Ongkir Xtra'!$C$3:$C$4, MATCH(L302, 'Biaya Gratis Ongkir Xtra'!$B$3:$B$4, 0)))</f>
        <v/>
      </c>
      <c r="V302" s="288" t="str">
        <f t="shared" si="6"/>
        <v/>
      </c>
      <c r="W302" s="264"/>
      <c r="X302" s="289" t="str">
        <f t="shared" si="7"/>
        <v/>
      </c>
      <c r="Y302" s="290" t="str">
        <f t="shared" si="8"/>
        <v/>
      </c>
      <c r="Z302" s="291" t="str">
        <f t="shared" si="9"/>
        <v/>
      </c>
      <c r="AA302" s="289" t="str">
        <f t="shared" si="10"/>
        <v/>
      </c>
      <c r="AB302" s="291" t="str">
        <f t="shared" si="11"/>
        <v/>
      </c>
      <c r="AC302" s="292" t="str">
        <f t="shared" si="12"/>
        <v/>
      </c>
      <c r="AD302" s="281"/>
      <c r="AE302" s="22"/>
    </row>
    <row r="303">
      <c r="A303" s="293"/>
      <c r="B303" s="267"/>
      <c r="C303" s="265"/>
      <c r="D303" s="265"/>
      <c r="E303" s="265"/>
      <c r="F303" s="266"/>
      <c r="G303" s="267" t="str">
        <f t="shared" si="1"/>
        <v/>
      </c>
      <c r="H303" s="293"/>
      <c r="I303" s="282"/>
      <c r="J303" s="282"/>
      <c r="K303" s="282"/>
      <c r="L303" s="282"/>
      <c r="M303" s="294"/>
      <c r="N303" s="283" t="str">
        <f t="array" ref="N303">if(C303=0,"",INDEX('Biaya Administrasi'!E:E, MATCH(I303, 'Biaya Administrasi'!B:B, 0)))</f>
        <v/>
      </c>
      <c r="O303" s="284" t="str">
        <f t="shared" si="2"/>
        <v/>
      </c>
      <c r="P303" s="285" t="str">
        <f t="array" ref="P303">if(J303=0,"",INDEX('Biaya Gratis Ongkir Xtra'!D:D, MATCH(J303, 'Biaya Gratis Ongkir Xtra'!C:C, 0)))</f>
        <v/>
      </c>
      <c r="Q303" s="286" t="str">
        <f t="shared" si="3"/>
        <v/>
      </c>
      <c r="R303" s="287" t="str">
        <f t="array" ref="R303">if(K303=0,"",INDEX('Biaya Gratis Ongkir Xtra'!$C$7:$C$10, MATCH(K303, 'Biaya Gratis Ongkir Xtra'!$B$7:$B$10, 0)))</f>
        <v/>
      </c>
      <c r="S303" s="288" t="str">
        <f t="shared" si="4"/>
        <v/>
      </c>
      <c r="T303" s="273" t="str">
        <f t="shared" si="13"/>
        <v/>
      </c>
      <c r="U303" s="287" t="str">
        <f t="array" ref="U303">if(C303=0,"",INDEX('Biaya Gratis Ongkir Xtra'!$C$3:$C$4, MATCH(L303, 'Biaya Gratis Ongkir Xtra'!$B$3:$B$4, 0)))</f>
        <v/>
      </c>
      <c r="V303" s="288" t="str">
        <f t="shared" si="6"/>
        <v/>
      </c>
      <c r="W303" s="264"/>
      <c r="X303" s="289" t="str">
        <f t="shared" si="7"/>
        <v/>
      </c>
      <c r="Y303" s="290" t="str">
        <f t="shared" si="8"/>
        <v/>
      </c>
      <c r="Z303" s="291" t="str">
        <f t="shared" si="9"/>
        <v/>
      </c>
      <c r="AA303" s="289" t="str">
        <f t="shared" si="10"/>
        <v/>
      </c>
      <c r="AB303" s="291" t="str">
        <f t="shared" si="11"/>
        <v/>
      </c>
      <c r="AC303" s="292" t="str">
        <f t="shared" si="12"/>
        <v/>
      </c>
      <c r="AD303" s="295"/>
      <c r="AE303" s="8"/>
    </row>
  </sheetData>
  <mergeCells count="9">
    <mergeCell ref="R6:S6"/>
    <mergeCell ref="U6:V6"/>
    <mergeCell ref="C1:J1"/>
    <mergeCell ref="C5:G5"/>
    <mergeCell ref="I5:L5"/>
    <mergeCell ref="N5:V5"/>
    <mergeCell ref="X5:AC5"/>
    <mergeCell ref="N6:O6"/>
    <mergeCell ref="P6:Q6"/>
  </mergeCells>
  <dataValidations>
    <dataValidation type="list" allowBlank="1" showErrorMessage="1" sqref="K8:K303">
      <formula1>'Biaya Gratis Ongkir Xtra'!$B$7:$B$10</formula1>
    </dataValidation>
    <dataValidation type="list" allowBlank="1" showErrorMessage="1" sqref="J8:J303">
      <formula1>'Biaya Gratis Ongkir Xtra'!$C$14:$C31</formula1>
    </dataValidation>
    <dataValidation type="list" allowBlank="1" showErrorMessage="1" sqref="I8:I303">
      <formula1>'Biaya Administrasi'!$B:$B</formula1>
    </dataValidation>
    <dataValidation type="list" allowBlank="1" showErrorMessage="1" sqref="L8:L303">
      <formula1>'Biaya Gratis Ongkir Xtra'!$B$3:$B$4</formula1>
    </dataValidation>
  </dataValidations>
  <drawing r:id="rId1"/>
</worksheet>
</file>